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7322"/>
  <workbookPr autoCompressPictures="0"/>
  <bookViews>
    <workbookView xWindow="480" yWindow="480" windowWidth="25120" windowHeight="15580"/>
  </bookViews>
  <sheets>
    <sheet name="CSF_GCMS" sheetId="5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5" l="1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C32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C11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C9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C7" i="5"/>
</calcChain>
</file>

<file path=xl/sharedStrings.xml><?xml version="1.0" encoding="utf-8"?>
<sst xmlns="http://schemas.openxmlformats.org/spreadsheetml/2006/main" count="139" uniqueCount="105">
  <si>
    <t>Sample ID</t>
  </si>
  <si>
    <t>P2</t>
  </si>
  <si>
    <t>P3</t>
  </si>
  <si>
    <t>P16</t>
  </si>
  <si>
    <t>P29</t>
  </si>
  <si>
    <t>P35</t>
  </si>
  <si>
    <t>P44</t>
  </si>
  <si>
    <t>P52</t>
  </si>
  <si>
    <t>P53</t>
  </si>
  <si>
    <t>P55</t>
  </si>
  <si>
    <t>P56</t>
  </si>
  <si>
    <t>P71</t>
  </si>
  <si>
    <t>P73</t>
  </si>
  <si>
    <t>C1</t>
  </si>
  <si>
    <t>C2</t>
  </si>
  <si>
    <t>P5</t>
  </si>
  <si>
    <t>P6</t>
  </si>
  <si>
    <t>P7</t>
  </si>
  <si>
    <t>P18</t>
  </si>
  <si>
    <t>P30</t>
  </si>
  <si>
    <t>P45</t>
  </si>
  <si>
    <t>P57</t>
  </si>
  <si>
    <t>P59</t>
  </si>
  <si>
    <t>P61</t>
  </si>
  <si>
    <t>P64</t>
  </si>
  <si>
    <t>P71C</t>
  </si>
  <si>
    <t>P74</t>
  </si>
  <si>
    <t>C3</t>
  </si>
  <si>
    <t>C4</t>
  </si>
  <si>
    <t>P8</t>
  </si>
  <si>
    <t>P9</t>
  </si>
  <si>
    <t>P19</t>
  </si>
  <si>
    <t>P22</t>
  </si>
  <si>
    <t>P36</t>
  </si>
  <si>
    <t>P66</t>
  </si>
  <si>
    <t>P68</t>
  </si>
  <si>
    <t>P69</t>
  </si>
  <si>
    <t>P70</t>
  </si>
  <si>
    <t>P72</t>
  </si>
  <si>
    <t>C5</t>
  </si>
  <si>
    <t xml:space="preserve">Pyruvic acid </t>
  </si>
  <si>
    <t xml:space="preserve">Lactic acid </t>
  </si>
  <si>
    <t xml:space="preserve">2-Hydroxyisobutyric acid </t>
  </si>
  <si>
    <t xml:space="preserve">Glycolic acid </t>
  </si>
  <si>
    <t xml:space="preserve">Alanine </t>
  </si>
  <si>
    <t xml:space="preserve">2-HydroxyButyric acid </t>
  </si>
  <si>
    <t xml:space="preserve">3-hydroxybutyric acid/3-hydroxyisobutyric acid </t>
  </si>
  <si>
    <t xml:space="preserve">2-Hydroxyisovaleric acid </t>
  </si>
  <si>
    <t xml:space="preserve">3-Hydroxyisovaleric acid  </t>
  </si>
  <si>
    <t xml:space="preserve">Valine </t>
  </si>
  <si>
    <t xml:space="preserve">Urea </t>
  </si>
  <si>
    <t xml:space="preserve">Ethanolamine  </t>
  </si>
  <si>
    <t xml:space="preserve">Leucine </t>
  </si>
  <si>
    <t xml:space="preserve">Glycerol </t>
  </si>
  <si>
    <t xml:space="preserve">Isoleucine </t>
  </si>
  <si>
    <t xml:space="preserve">Proline </t>
  </si>
  <si>
    <t xml:space="preserve">Glycine </t>
  </si>
  <si>
    <t xml:space="preserve">Glyceric acid </t>
  </si>
  <si>
    <t xml:space="preserve">Uracil </t>
  </si>
  <si>
    <t xml:space="preserve">Serine  </t>
  </si>
  <si>
    <t xml:space="preserve">Threonine </t>
  </si>
  <si>
    <t xml:space="preserve">Malic acid </t>
  </si>
  <si>
    <t xml:space="preserve">d-Threitol </t>
  </si>
  <si>
    <t xml:space="preserve">Oxoproline </t>
  </si>
  <si>
    <t xml:space="preserve">Aspartic  </t>
  </si>
  <si>
    <t xml:space="preserve">4-Hydroxyproline </t>
  </si>
  <si>
    <t xml:space="preserve">Threonic acid  </t>
  </si>
  <si>
    <t xml:space="preserve">a-ketoglutaric acid </t>
  </si>
  <si>
    <t xml:space="preserve">Glutamic acid </t>
  </si>
  <si>
    <t xml:space="preserve">Phenylalanine </t>
  </si>
  <si>
    <t xml:space="preserve">d-Xylitol </t>
  </si>
  <si>
    <t xml:space="preserve">d-Arabitol </t>
  </si>
  <si>
    <t xml:space="preserve">Glycerol-1-phosphate </t>
  </si>
  <si>
    <t xml:space="preserve">Glutamine </t>
  </si>
  <si>
    <t xml:space="preserve">Xylonic acid </t>
  </si>
  <si>
    <t xml:space="preserve">Ribonic acid </t>
  </si>
  <si>
    <t xml:space="preserve">Hypoxanthine </t>
  </si>
  <si>
    <t xml:space="preserve">Ornithine </t>
  </si>
  <si>
    <t xml:space="preserve">Citric acid </t>
  </si>
  <si>
    <t xml:space="preserve">4-hydroxyPhenyllactic acid </t>
  </si>
  <si>
    <t xml:space="preserve">d-Fructose  </t>
  </si>
  <si>
    <t xml:space="preserve">Mannose </t>
  </si>
  <si>
    <t xml:space="preserve">Galactose </t>
  </si>
  <si>
    <t xml:space="preserve">Glucose </t>
  </si>
  <si>
    <t xml:space="preserve">d-Mannitol </t>
  </si>
  <si>
    <t xml:space="preserve">d-Sorbitol </t>
  </si>
  <si>
    <t xml:space="preserve">d-Galactitol </t>
  </si>
  <si>
    <t xml:space="preserve">d-Gluconic acid </t>
  </si>
  <si>
    <t xml:space="preserve">Saccharic acid </t>
  </si>
  <si>
    <t xml:space="preserve">myo-Inositol </t>
  </si>
  <si>
    <t xml:space="preserve">Uric acid </t>
  </si>
  <si>
    <t xml:space="preserve">Sedoheptulose  </t>
  </si>
  <si>
    <t>GRIN</t>
  </si>
  <si>
    <t>STXBP1</t>
  </si>
  <si>
    <t>KearnSyre</t>
  </si>
  <si>
    <t>PFAKE_KS</t>
  </si>
  <si>
    <t>FOLR1</t>
  </si>
  <si>
    <t>PFAKE_FOLR1</t>
  </si>
  <si>
    <t>CDKL5</t>
  </si>
  <si>
    <t>PFAKE_CDKL5</t>
  </si>
  <si>
    <t>MeCP2</t>
  </si>
  <si>
    <t>BCKDK</t>
  </si>
  <si>
    <t>EEM</t>
  </si>
  <si>
    <t>Control</t>
  </si>
  <si>
    <t>PFAKE_EEM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</si>
</sst>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Border="1"/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45"/>
  <sheetViews>
    <sheetView tabSelected="1" topLeftCell="A3" zoomScale="85" zoomScaleNormal="85" zoomScalePageLayoutView="85" workbookViewId="0">
      <selection activeCell="E48" sqref="E48"/>
    </sheetView>
  </sheetViews>
  <sheetFormatPr baseColWidth="10" defaultRowHeight="14" x14ac:dyDescent="0"/>
  <sheetData>
    <row r="2" spans="1:54" ht="70">
      <c r="A2" s="1" t="s">
        <v>0</v>
      </c>
      <c r="B2" s="1"/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  <c r="AM2" s="1" t="s">
        <v>76</v>
      </c>
      <c r="AN2" s="1" t="s">
        <v>77</v>
      </c>
      <c r="AO2" s="1" t="s">
        <v>78</v>
      </c>
      <c r="AP2" s="1" t="s">
        <v>79</v>
      </c>
      <c r="AQ2" s="1" t="s">
        <v>80</v>
      </c>
      <c r="AR2" s="1" t="s">
        <v>81</v>
      </c>
      <c r="AS2" s="1" t="s">
        <v>82</v>
      </c>
      <c r="AT2" s="1" t="s">
        <v>83</v>
      </c>
      <c r="AU2" s="1" t="s">
        <v>84</v>
      </c>
      <c r="AV2" s="1" t="s">
        <v>85</v>
      </c>
      <c r="AW2" s="1" t="s">
        <v>86</v>
      </c>
      <c r="AX2" s="1" t="s">
        <v>87</v>
      </c>
      <c r="AY2" s="1" t="s">
        <v>88</v>
      </c>
      <c r="AZ2" s="1" t="s">
        <v>89</v>
      </c>
      <c r="BA2" s="1" t="s">
        <v>90</v>
      </c>
      <c r="BB2" s="1" t="s">
        <v>91</v>
      </c>
    </row>
    <row r="3" spans="1:54">
      <c r="A3" s="2" t="s">
        <v>1</v>
      </c>
      <c r="B3" s="2" t="s">
        <v>92</v>
      </c>
      <c r="C3" s="3">
        <v>107.56627272727273</v>
      </c>
      <c r="D3" s="3">
        <v>2123.7435135135138</v>
      </c>
      <c r="E3" s="3">
        <v>1.0725806451612905</v>
      </c>
      <c r="F3" s="3">
        <v>13.510714285714286</v>
      </c>
      <c r="G3" s="3">
        <v>21.885438356164389</v>
      </c>
      <c r="H3" s="3">
        <v>36.25725806451613</v>
      </c>
      <c r="I3" s="3">
        <v>1.6048387096774195</v>
      </c>
      <c r="J3" s="3">
        <v>5.657258064516129</v>
      </c>
      <c r="K3" s="3">
        <v>3.0758064516129036</v>
      </c>
      <c r="L3" s="3">
        <v>16.15431298701299</v>
      </c>
      <c r="M3" s="3">
        <v>836.892857142857</v>
      </c>
      <c r="N3" s="3">
        <v>13.77189646017699</v>
      </c>
      <c r="O3" s="3">
        <v>11.16611282051282</v>
      </c>
      <c r="P3" s="3">
        <v>38.190909090909088</v>
      </c>
      <c r="Q3" s="3">
        <v>4.4042465753424658</v>
      </c>
      <c r="R3" s="3">
        <v>0.61613303467082203</v>
      </c>
      <c r="S3" s="3">
        <v>6.6722772277227724</v>
      </c>
      <c r="T3" s="3">
        <v>9.9410757108598844</v>
      </c>
      <c r="U3" s="3">
        <v>0.17613513513513512</v>
      </c>
      <c r="V3" s="3">
        <v>43.017139534883725</v>
      </c>
      <c r="W3" s="3">
        <v>27.445151917404132</v>
      </c>
      <c r="X3" s="3">
        <v>0.70454545454545459</v>
      </c>
      <c r="Y3" s="3">
        <v>4.8654970760233915</v>
      </c>
      <c r="Z3" s="3">
        <v>132.78481242695753</v>
      </c>
      <c r="AA3" s="3">
        <v>2.6037735849056602</v>
      </c>
      <c r="AB3" s="3">
        <v>0.33793103448275863</v>
      </c>
      <c r="AC3" s="3">
        <v>130.44302325581396</v>
      </c>
      <c r="AD3" s="3">
        <v>0.79473684210526319</v>
      </c>
      <c r="AE3" s="3">
        <v>0.57790697674418612</v>
      </c>
      <c r="AF3" s="3">
        <v>7.9765765765765764</v>
      </c>
      <c r="AG3" s="3">
        <v>7.1150097465886936E-2</v>
      </c>
      <c r="AH3" s="3">
        <v>7.2670565302144254</v>
      </c>
      <c r="AI3" s="3">
        <v>6.3434782608695652</v>
      </c>
      <c r="AJ3" s="3">
        <v>524.09499999999991</v>
      </c>
      <c r="AK3" s="3">
        <v>1.8845454545454547</v>
      </c>
      <c r="AL3" s="3">
        <v>4.9872727272727273</v>
      </c>
      <c r="AM3" s="3">
        <v>0.17880794701986757</v>
      </c>
      <c r="AN3" s="3">
        <v>4.1350000000000007</v>
      </c>
      <c r="AO3" s="3">
        <v>267.14299999999997</v>
      </c>
      <c r="AP3" s="3">
        <v>1.917</v>
      </c>
      <c r="AQ3" s="3">
        <v>130.44666666666669</v>
      </c>
      <c r="AR3" s="3">
        <v>62.125714285714274</v>
      </c>
      <c r="AS3" s="3">
        <v>376.56285714285713</v>
      </c>
      <c r="AT3" s="3">
        <v>258.32285714285712</v>
      </c>
      <c r="AU3" s="3">
        <v>4.1656920077972712</v>
      </c>
      <c r="AV3" s="3">
        <v>17.391812865497077</v>
      </c>
      <c r="AW3" s="3">
        <v>0.42787524366471735</v>
      </c>
      <c r="AX3" s="3">
        <v>0.35818181818181816</v>
      </c>
      <c r="AY3" s="3">
        <v>2.2363636363636363</v>
      </c>
      <c r="AZ3" s="3">
        <v>34.258181818181818</v>
      </c>
      <c r="BA3" s="3">
        <v>2.0290322580645164</v>
      </c>
      <c r="BB3" s="3">
        <v>0.37428571428571428</v>
      </c>
    </row>
    <row r="4" spans="1:54">
      <c r="A4" s="2" t="s">
        <v>2</v>
      </c>
      <c r="B4" s="2" t="s">
        <v>92</v>
      </c>
      <c r="C4" s="3">
        <v>60.091272727272731</v>
      </c>
      <c r="D4" s="3">
        <v>1748.6948648648649</v>
      </c>
      <c r="E4" s="3">
        <v>0.43387096774193551</v>
      </c>
      <c r="F4" s="3">
        <v>7.7321428571428568</v>
      </c>
      <c r="G4" s="3">
        <v>17.655301369863015</v>
      </c>
      <c r="H4" s="3">
        <v>36.727419354838709</v>
      </c>
      <c r="I4" s="3">
        <v>4.6661290322580644</v>
      </c>
      <c r="J4" s="3">
        <v>4.9016129032258062</v>
      </c>
      <c r="K4" s="3">
        <v>2.3112903225806454</v>
      </c>
      <c r="L4" s="3">
        <v>19.653014285714288</v>
      </c>
      <c r="M4" s="3">
        <v>818.04428571428559</v>
      </c>
      <c r="N4" s="3">
        <v>17.009064601769911</v>
      </c>
      <c r="O4" s="3">
        <v>12.531497435897435</v>
      </c>
      <c r="P4" s="3">
        <v>27.045454545454547</v>
      </c>
      <c r="Q4" s="3">
        <v>5.8124657534246573</v>
      </c>
      <c r="R4" s="3">
        <v>1.3344813011297234</v>
      </c>
      <c r="S4" s="3">
        <v>4.7376237623762369</v>
      </c>
      <c r="T4" s="3">
        <v>6.416581020897568</v>
      </c>
      <c r="U4" s="3">
        <v>0.16478378378378378</v>
      </c>
      <c r="V4" s="3">
        <v>34.926700258397936</v>
      </c>
      <c r="W4" s="3">
        <v>31.266685840707964</v>
      </c>
      <c r="X4" s="3">
        <v>0.48636363636363639</v>
      </c>
      <c r="Y4" s="3">
        <v>3.5214424951267058</v>
      </c>
      <c r="Z4" s="3">
        <v>98.229300155823921</v>
      </c>
      <c r="AA4" s="3">
        <v>2.1257861635220121</v>
      </c>
      <c r="AB4" s="3">
        <v>0.18275862068965518</v>
      </c>
      <c r="AC4" s="3">
        <v>87.336046511627913</v>
      </c>
      <c r="AD4" s="3">
        <v>0.77368421052631575</v>
      </c>
      <c r="AE4" s="3">
        <v>0.27906976744186052</v>
      </c>
      <c r="AF4" s="3">
        <v>7.4567567567567563</v>
      </c>
      <c r="AG4" s="3">
        <v>4.1910331384015599E-2</v>
      </c>
      <c r="AH4" s="3">
        <v>3.9707602339181287</v>
      </c>
      <c r="AI4" s="3">
        <v>4.4391304347826086</v>
      </c>
      <c r="AJ4" s="3">
        <v>615.75749999999994</v>
      </c>
      <c r="AK4" s="3">
        <v>0.94272727272727275</v>
      </c>
      <c r="AL4" s="3">
        <v>1.5427272727272727</v>
      </c>
      <c r="AM4" s="3">
        <v>0.19322165952473705</v>
      </c>
      <c r="AN4" s="3">
        <v>5.4037500000000005</v>
      </c>
      <c r="AO4" s="3">
        <v>187.80499999999998</v>
      </c>
      <c r="AP4" s="3">
        <v>2.0680000000000001</v>
      </c>
      <c r="AQ4" s="3">
        <v>107.14</v>
      </c>
      <c r="AR4" s="3">
        <v>83.505714285714276</v>
      </c>
      <c r="AS4" s="3">
        <v>242.87142857142857</v>
      </c>
      <c r="AT4" s="3">
        <v>132.10857142857142</v>
      </c>
      <c r="AU4" s="3">
        <v>2.6998050682261212</v>
      </c>
      <c r="AV4" s="3">
        <v>19.140350877192983</v>
      </c>
      <c r="AW4" s="3">
        <v>0.53801169590643272</v>
      </c>
      <c r="AX4" s="3">
        <v>0.34</v>
      </c>
      <c r="AY4" s="3">
        <v>1.5545454545454547</v>
      </c>
      <c r="AZ4" s="3">
        <v>29.575454545454544</v>
      </c>
      <c r="BA4" s="3">
        <v>1.2989247311827958</v>
      </c>
      <c r="BB4" s="3">
        <v>0.34857142857142859</v>
      </c>
    </row>
    <row r="5" spans="1:54">
      <c r="A5" s="2" t="s">
        <v>3</v>
      </c>
      <c r="B5" s="2" t="s">
        <v>93</v>
      </c>
      <c r="C5" s="3">
        <v>163.87309090909091</v>
      </c>
      <c r="D5" s="3">
        <v>1909.0705405405404</v>
      </c>
      <c r="E5" s="3">
        <v>1.3959677419354839</v>
      </c>
      <c r="F5" s="3">
        <v>8.7178571428571434</v>
      </c>
      <c r="G5" s="3">
        <v>24.692287671232879</v>
      </c>
      <c r="H5" s="3">
        <v>45.201612903225808</v>
      </c>
      <c r="I5" s="3">
        <v>3.4411290322580648</v>
      </c>
      <c r="J5" s="3">
        <v>10.935483870967742</v>
      </c>
      <c r="K5" s="3">
        <v>7.2475806451612907</v>
      </c>
      <c r="L5" s="3">
        <v>17.951715584415588</v>
      </c>
      <c r="M5" s="3">
        <v>774.79999999999984</v>
      </c>
      <c r="N5" s="3">
        <v>8.3816309734513261</v>
      </c>
      <c r="O5" s="3">
        <v>10.626369230769232</v>
      </c>
      <c r="P5" s="3">
        <v>29.827272727272728</v>
      </c>
      <c r="Q5" s="3">
        <v>4.1426027397260272</v>
      </c>
      <c r="R5" s="3">
        <v>0.44355804440981694</v>
      </c>
      <c r="S5" s="3">
        <v>5.2306930693069305</v>
      </c>
      <c r="T5" s="3">
        <v>9.0760534429599193</v>
      </c>
      <c r="U5" s="3">
        <v>0.24586486486486486</v>
      </c>
      <c r="V5" s="3">
        <v>43.362100775193802</v>
      </c>
      <c r="W5" s="3">
        <v>38.122143067846608</v>
      </c>
      <c r="X5" s="3">
        <v>0.78181818181818186</v>
      </c>
      <c r="Y5" s="3">
        <v>4.1637426900584797</v>
      </c>
      <c r="Z5" s="3">
        <v>139.24137650954421</v>
      </c>
      <c r="AA5" s="3">
        <v>2.6226415094339623</v>
      </c>
      <c r="AB5" s="3">
        <v>0.23524904214559386</v>
      </c>
      <c r="AC5" s="3">
        <v>93.050000000000011</v>
      </c>
      <c r="AD5" s="3">
        <v>0.82631578947368411</v>
      </c>
      <c r="AE5" s="3">
        <v>0.89534883720930236</v>
      </c>
      <c r="AF5" s="3">
        <v>8.6225225225225213</v>
      </c>
      <c r="AG5" s="3">
        <v>4.7758284600389861E-2</v>
      </c>
      <c r="AH5" s="3">
        <v>3.7534113060428851</v>
      </c>
      <c r="AI5" s="3">
        <v>4.8</v>
      </c>
      <c r="AJ5" s="3">
        <v>1056.02</v>
      </c>
      <c r="AK5" s="3">
        <v>1.2963636363636364</v>
      </c>
      <c r="AL5" s="3">
        <v>2.6763636363636363</v>
      </c>
      <c r="AM5" s="3">
        <v>0.1889365017530191</v>
      </c>
      <c r="AN5" s="3">
        <v>5.3781249999999998</v>
      </c>
      <c r="AO5" s="3">
        <v>168.51099999999997</v>
      </c>
      <c r="AP5" s="3">
        <v>2.8079999999999998</v>
      </c>
      <c r="AQ5" s="3">
        <v>116.88666666666667</v>
      </c>
      <c r="AR5" s="3">
        <v>73.688571428571422</v>
      </c>
      <c r="AS5" s="3">
        <v>273.35428571428565</v>
      </c>
      <c r="AT5" s="3">
        <v>174.01428571428568</v>
      </c>
      <c r="AU5" s="3">
        <v>3.4210526315789473</v>
      </c>
      <c r="AV5" s="3">
        <v>16.638401559454191</v>
      </c>
      <c r="AW5" s="3">
        <v>0.3489278752436647</v>
      </c>
      <c r="AX5" s="3">
        <v>0.35090909090909095</v>
      </c>
      <c r="AY5" s="3">
        <v>1.9636363636363638</v>
      </c>
      <c r="AZ5" s="3">
        <v>29.012727272727272</v>
      </c>
      <c r="BA5" s="3">
        <v>1.1225806451612903</v>
      </c>
      <c r="BB5" s="3">
        <v>0.37142857142857139</v>
      </c>
    </row>
    <row r="6" spans="1:54">
      <c r="A6" s="2" t="s">
        <v>4</v>
      </c>
      <c r="B6" s="2" t="s">
        <v>94</v>
      </c>
      <c r="C6" s="3">
        <v>359.54581818181822</v>
      </c>
      <c r="D6" s="3">
        <v>2623.0651351351353</v>
      </c>
      <c r="E6" s="3">
        <v>1.2895161290322579</v>
      </c>
      <c r="F6" s="3">
        <v>5.4678571428571434</v>
      </c>
      <c r="G6" s="3">
        <v>43.155301369863018</v>
      </c>
      <c r="H6" s="3">
        <v>35.854838709677416</v>
      </c>
      <c r="I6" s="3">
        <v>68.808064516129036</v>
      </c>
      <c r="J6" s="3">
        <v>19.975000000000001</v>
      </c>
      <c r="K6" s="3">
        <v>1.7725806451612902</v>
      </c>
      <c r="L6" s="3">
        <v>19.366001298701303</v>
      </c>
      <c r="M6" s="3">
        <v>579.89142857142849</v>
      </c>
      <c r="N6" s="3">
        <v>17.417029203539823</v>
      </c>
      <c r="O6" s="3">
        <v>13.819958974358974</v>
      </c>
      <c r="P6" s="3">
        <v>37.136363636363633</v>
      </c>
      <c r="Q6" s="3">
        <v>6.5836986301369862</v>
      </c>
      <c r="R6" s="3">
        <v>1.8934996104402027</v>
      </c>
      <c r="S6" s="3">
        <v>6.2455445544554458</v>
      </c>
      <c r="T6" s="3">
        <v>8.0178143199725938</v>
      </c>
      <c r="U6" s="3">
        <v>0.20370270270270269</v>
      </c>
      <c r="V6" s="3">
        <v>42.010679586563313</v>
      </c>
      <c r="W6" s="3">
        <v>21.980550147492625</v>
      </c>
      <c r="X6" s="3">
        <v>1.6727272727272728</v>
      </c>
      <c r="Y6" s="3">
        <v>2.9171539961013648</v>
      </c>
      <c r="Z6" s="3">
        <v>76.724820218153496</v>
      </c>
      <c r="AA6" s="3">
        <v>1.9496855345911948</v>
      </c>
      <c r="AB6" s="3">
        <v>0.15363984674329501</v>
      </c>
      <c r="AC6" s="3">
        <v>58.115116279069767</v>
      </c>
      <c r="AD6" s="3">
        <v>0.94210526315789467</v>
      </c>
      <c r="AE6" s="3">
        <v>0.29069767441860467</v>
      </c>
      <c r="AF6" s="3">
        <v>7.3</v>
      </c>
      <c r="AG6" s="3">
        <v>3.8011695906432746E-2</v>
      </c>
      <c r="AH6" s="3">
        <v>2.0185185185185186</v>
      </c>
      <c r="AI6" s="3">
        <v>5.0304347826086957</v>
      </c>
      <c r="AJ6" s="3">
        <v>440.01499999999999</v>
      </c>
      <c r="AK6" s="3">
        <v>0.71000000000000008</v>
      </c>
      <c r="AL6" s="3">
        <v>1.7672727272727271</v>
      </c>
      <c r="AM6" s="3">
        <v>7.9859758472925604E-2</v>
      </c>
      <c r="AN6" s="3">
        <v>5.1118750000000004</v>
      </c>
      <c r="AO6" s="3">
        <v>284.59399999999999</v>
      </c>
      <c r="AP6" s="3">
        <v>1.8679999999999999</v>
      </c>
      <c r="AQ6" s="3">
        <v>92.24</v>
      </c>
      <c r="AR6" s="3">
        <v>69.028571428571425</v>
      </c>
      <c r="AS6" s="3">
        <v>278.70285714285711</v>
      </c>
      <c r="AT6" s="3">
        <v>195.9485714285714</v>
      </c>
      <c r="AU6" s="3">
        <v>2.2826510721247564</v>
      </c>
      <c r="AV6" s="3">
        <v>21.454191033138404</v>
      </c>
      <c r="AW6" s="3">
        <v>0.29434697855750491</v>
      </c>
      <c r="AX6" s="3">
        <v>0.21636363636363637</v>
      </c>
      <c r="AY6" s="3">
        <v>1.3818181818181818</v>
      </c>
      <c r="AZ6" s="3">
        <v>29.490909090909092</v>
      </c>
      <c r="BA6" s="3">
        <v>1.4150537634408602</v>
      </c>
      <c r="BB6" s="3">
        <v>0.31428571428571422</v>
      </c>
    </row>
    <row r="7" spans="1:54">
      <c r="A7" s="2" t="s">
        <v>95</v>
      </c>
      <c r="B7" s="2" t="s">
        <v>94</v>
      </c>
      <c r="C7" s="3">
        <f>AVERAGE(C6,C24)</f>
        <v>400.79240909090913</v>
      </c>
      <c r="D7" s="3">
        <f t="shared" ref="D7:BB7" si="0">AVERAGE(D6,D24)</f>
        <v>2631.9637837837836</v>
      </c>
      <c r="E7" s="3">
        <f t="shared" si="0"/>
        <v>2.2112903225806453</v>
      </c>
      <c r="F7" s="3">
        <f t="shared" si="0"/>
        <v>10.219642857142858</v>
      </c>
      <c r="G7" s="3">
        <f t="shared" si="0"/>
        <v>43.437493150684936</v>
      </c>
      <c r="H7" s="3">
        <f t="shared" si="0"/>
        <v>85.251612903225805</v>
      </c>
      <c r="I7" s="3">
        <f t="shared" si="0"/>
        <v>90.865725806451621</v>
      </c>
      <c r="J7" s="3">
        <f t="shared" si="0"/>
        <v>20.605645161290326</v>
      </c>
      <c r="K7" s="3">
        <f t="shared" si="0"/>
        <v>4.2076612903225801</v>
      </c>
      <c r="L7" s="3">
        <f t="shared" si="0"/>
        <v>19.498468831168836</v>
      </c>
      <c r="M7" s="3">
        <f t="shared" si="0"/>
        <v>877.32428571428568</v>
      </c>
      <c r="N7" s="3">
        <f t="shared" si="0"/>
        <v>21.506409734513273</v>
      </c>
      <c r="O7" s="3">
        <f t="shared" si="0"/>
        <v>13.233420512820512</v>
      </c>
      <c r="P7" s="3">
        <f t="shared" si="0"/>
        <v>45.327272727272728</v>
      </c>
      <c r="Q7" s="3">
        <f t="shared" si="0"/>
        <v>5.9768493150684936</v>
      </c>
      <c r="R7" s="3">
        <f t="shared" si="0"/>
        <v>1.4369355278535256</v>
      </c>
      <c r="S7" s="3">
        <f t="shared" si="0"/>
        <v>6.9950495049504955</v>
      </c>
      <c r="T7" s="3">
        <f t="shared" si="0"/>
        <v>14.629838985954095</v>
      </c>
      <c r="U7" s="3">
        <f t="shared" si="0"/>
        <v>0.23775675675675675</v>
      </c>
      <c r="V7" s="3">
        <f t="shared" si="0"/>
        <v>47.601764857881143</v>
      </c>
      <c r="W7" s="3">
        <f t="shared" si="0"/>
        <v>28.939252212389384</v>
      </c>
      <c r="X7" s="3">
        <f t="shared" si="0"/>
        <v>1.3227272727272728</v>
      </c>
      <c r="Y7" s="3">
        <f t="shared" si="0"/>
        <v>9.7821637426900594</v>
      </c>
      <c r="Z7" s="3">
        <f t="shared" si="0"/>
        <v>92.940052006232975</v>
      </c>
      <c r="AA7" s="3">
        <f t="shared" si="0"/>
        <v>2.141509433962264</v>
      </c>
      <c r="AB7" s="3">
        <f t="shared" si="0"/>
        <v>0.22030651340996166</v>
      </c>
      <c r="AC7" s="3">
        <f t="shared" si="0"/>
        <v>354.71976744186048</v>
      </c>
      <c r="AD7" s="3">
        <f t="shared" si="0"/>
        <v>1.081578947368421</v>
      </c>
      <c r="AE7" s="3">
        <f t="shared" si="0"/>
        <v>0.34593023255813959</v>
      </c>
      <c r="AF7" s="3">
        <f t="shared" si="0"/>
        <v>8.1400900900900908</v>
      </c>
      <c r="AG7" s="3">
        <f t="shared" si="0"/>
        <v>6.6764132553606234E-2</v>
      </c>
      <c r="AH7" s="3">
        <f t="shared" si="0"/>
        <v>16.534113060428851</v>
      </c>
      <c r="AI7" s="3">
        <f t="shared" si="0"/>
        <v>7.089130434782609</v>
      </c>
      <c r="AJ7" s="3">
        <f t="shared" si="0"/>
        <v>577.05250000000001</v>
      </c>
      <c r="AK7" s="3">
        <f t="shared" si="0"/>
        <v>4.8250000000000011</v>
      </c>
      <c r="AL7" s="3">
        <f t="shared" si="0"/>
        <v>27.462727272727275</v>
      </c>
      <c r="AM7" s="3">
        <f t="shared" si="0"/>
        <v>7.1873782625633043E-2</v>
      </c>
      <c r="AN7" s="3">
        <f t="shared" si="0"/>
        <v>4.0425000000000004</v>
      </c>
      <c r="AO7" s="3">
        <f t="shared" si="0"/>
        <v>569.5</v>
      </c>
      <c r="AP7" s="3">
        <f t="shared" si="0"/>
        <v>1.6579999999999999</v>
      </c>
      <c r="AQ7" s="3">
        <f t="shared" si="0"/>
        <v>108.72</v>
      </c>
      <c r="AR7" s="3">
        <f t="shared" si="0"/>
        <v>68.565714285714279</v>
      </c>
      <c r="AS7" s="3">
        <f t="shared" si="0"/>
        <v>308.38857142857137</v>
      </c>
      <c r="AT7" s="3">
        <f t="shared" si="0"/>
        <v>198.27428571428567</v>
      </c>
      <c r="AU7" s="3">
        <f t="shared" si="0"/>
        <v>13.328947368421055</v>
      </c>
      <c r="AV7" s="3">
        <f t="shared" si="0"/>
        <v>46.026803118908383</v>
      </c>
      <c r="AW7" s="3">
        <f t="shared" si="0"/>
        <v>0.32066276803118909</v>
      </c>
      <c r="AX7" s="3">
        <f t="shared" si="0"/>
        <v>0.47590909090909095</v>
      </c>
      <c r="AY7" s="3">
        <f t="shared" si="0"/>
        <v>4.8136363636363644</v>
      </c>
      <c r="AZ7" s="3">
        <f t="shared" si="0"/>
        <v>35.30409090909091</v>
      </c>
      <c r="BA7" s="3">
        <f t="shared" si="0"/>
        <v>1.7720430107526883</v>
      </c>
      <c r="BB7" s="3">
        <f t="shared" si="0"/>
        <v>0.76571428571428568</v>
      </c>
    </row>
    <row r="8" spans="1:54">
      <c r="A8" s="2" t="s">
        <v>5</v>
      </c>
      <c r="B8" s="2" t="s">
        <v>96</v>
      </c>
      <c r="C8" s="3">
        <v>64.127636363636356</v>
      </c>
      <c r="D8" s="3">
        <v>2125.2272972972974</v>
      </c>
      <c r="E8" s="3">
        <v>0.68709677419354842</v>
      </c>
      <c r="F8" s="3">
        <v>25.707142857142856</v>
      </c>
      <c r="G8" s="3">
        <v>22.096397260273974</v>
      </c>
      <c r="H8" s="3">
        <v>31.630645161290325</v>
      </c>
      <c r="I8" s="3">
        <v>4.5733870967741943</v>
      </c>
      <c r="J8" s="3">
        <v>8.6750000000000007</v>
      </c>
      <c r="K8" s="3">
        <v>4.7556451612903228</v>
      </c>
      <c r="L8" s="3">
        <v>18.912754545454547</v>
      </c>
      <c r="M8" s="3">
        <v>808.1642857142856</v>
      </c>
      <c r="N8" s="3">
        <v>12.935613274336282</v>
      </c>
      <c r="O8" s="3">
        <v>13.809702564102562</v>
      </c>
      <c r="P8" s="3">
        <v>42.236363636363642</v>
      </c>
      <c r="Q8" s="3">
        <v>5.7768493150684934</v>
      </c>
      <c r="R8" s="3">
        <v>0.70729002726918588</v>
      </c>
      <c r="S8" s="3">
        <v>5.6871287128712869</v>
      </c>
      <c r="T8" s="3">
        <v>44.939705378554301</v>
      </c>
      <c r="U8" s="3">
        <v>0.24802702702702703</v>
      </c>
      <c r="V8" s="3">
        <v>30.581739018087859</v>
      </c>
      <c r="W8" s="3">
        <v>37.175240412979349</v>
      </c>
      <c r="X8" s="3">
        <v>1.259090909090909</v>
      </c>
      <c r="Y8" s="3">
        <v>4.6881091617933723</v>
      </c>
      <c r="Z8" s="3">
        <v>88.814029411764707</v>
      </c>
      <c r="AA8" s="3">
        <v>2.2389937106918238</v>
      </c>
      <c r="AB8" s="3">
        <v>0.61800766283524899</v>
      </c>
      <c r="AC8" s="3">
        <v>82.632558139534893</v>
      </c>
      <c r="AD8" s="3">
        <v>0.67894736842105263</v>
      </c>
      <c r="AE8" s="3">
        <v>1.0302325581395348</v>
      </c>
      <c r="AF8" s="3">
        <v>8.1504504504504496</v>
      </c>
      <c r="AG8" s="3">
        <v>2.8265107212475632E-2</v>
      </c>
      <c r="AH8" s="3">
        <v>1.8723196881091617</v>
      </c>
      <c r="AI8" s="3">
        <v>4.4913043478260875</v>
      </c>
      <c r="AJ8" s="3">
        <v>691.62249999999995</v>
      </c>
      <c r="AK8" s="3">
        <v>0.86</v>
      </c>
      <c r="AL8" s="3">
        <v>1.3181818181818181</v>
      </c>
      <c r="AM8" s="3">
        <v>0.14179976626412155</v>
      </c>
      <c r="AN8" s="3">
        <v>7.363125000000001</v>
      </c>
      <c r="AO8" s="3">
        <v>621.49299999999994</v>
      </c>
      <c r="AP8" s="3">
        <v>2.3539999999999996</v>
      </c>
      <c r="AQ8" s="3">
        <v>227.27333333333334</v>
      </c>
      <c r="AR8" s="3">
        <v>154.29142857142855</v>
      </c>
      <c r="AS8" s="3">
        <v>325.42857142857139</v>
      </c>
      <c r="AT8" s="3">
        <v>189.03999999999996</v>
      </c>
      <c r="AU8" s="3">
        <v>2.7222222222222223</v>
      </c>
      <c r="AV8" s="3">
        <v>18.530214424951268</v>
      </c>
      <c r="AW8" s="3">
        <v>0.26803118908382068</v>
      </c>
      <c r="AX8" s="3">
        <v>0.21727272727272728</v>
      </c>
      <c r="AY8" s="3">
        <v>0.97272727272727277</v>
      </c>
      <c r="AZ8" s="3">
        <v>21.876363636363639</v>
      </c>
      <c r="BA8" s="3">
        <v>2.3236559139784947</v>
      </c>
      <c r="BB8" s="3">
        <v>0.50571428571428567</v>
      </c>
    </row>
    <row r="9" spans="1:54">
      <c r="A9" s="2" t="s">
        <v>97</v>
      </c>
      <c r="B9" s="2" t="s">
        <v>96</v>
      </c>
      <c r="C9" s="3">
        <f>AVERAGE(C8,C39)</f>
        <v>139.24240909090909</v>
      </c>
      <c r="D9" s="3">
        <f t="shared" ref="D9:BB9" si="1">AVERAGE(D8,D39)</f>
        <v>2268.2083783783783</v>
      </c>
      <c r="E9" s="3">
        <f t="shared" si="1"/>
        <v>0.74838709677419357</v>
      </c>
      <c r="F9" s="3">
        <f t="shared" si="1"/>
        <v>17.739285714285714</v>
      </c>
      <c r="G9" s="3">
        <f t="shared" si="1"/>
        <v>32.185438356164383</v>
      </c>
      <c r="H9" s="3">
        <f t="shared" si="1"/>
        <v>27.710483870967742</v>
      </c>
      <c r="I9" s="3">
        <f t="shared" si="1"/>
        <v>3.2407258064516133</v>
      </c>
      <c r="J9" s="3">
        <f t="shared" si="1"/>
        <v>8.7624999999999993</v>
      </c>
      <c r="K9" s="3">
        <f t="shared" si="1"/>
        <v>4.7903225806451619</v>
      </c>
      <c r="L9" s="3">
        <f t="shared" si="1"/>
        <v>18.054962337662339</v>
      </c>
      <c r="M9" s="3">
        <f t="shared" si="1"/>
        <v>901.68</v>
      </c>
      <c r="N9" s="3">
        <f t="shared" si="1"/>
        <v>11.667029203539823</v>
      </c>
      <c r="O9" s="3">
        <f t="shared" si="1"/>
        <v>15.564189743589742</v>
      </c>
      <c r="P9" s="3">
        <f t="shared" si="1"/>
        <v>39.531818181818181</v>
      </c>
      <c r="Q9" s="3">
        <f t="shared" si="1"/>
        <v>6.7576712328767128</v>
      </c>
      <c r="R9" s="3">
        <f t="shared" si="1"/>
        <v>0.65898461238800166</v>
      </c>
      <c r="S9" s="3">
        <f t="shared" si="1"/>
        <v>5.8420792079207917</v>
      </c>
      <c r="T9" s="3">
        <f t="shared" si="1"/>
        <v>25.737923946557039</v>
      </c>
      <c r="U9" s="3">
        <f t="shared" si="1"/>
        <v>0.2199189189189189</v>
      </c>
      <c r="V9" s="3">
        <f t="shared" si="1"/>
        <v>28.009387596899227</v>
      </c>
      <c r="W9" s="3">
        <f t="shared" si="1"/>
        <v>31.304296460176992</v>
      </c>
      <c r="X9" s="3">
        <f t="shared" si="1"/>
        <v>0.78636363636363638</v>
      </c>
      <c r="Y9" s="3">
        <f t="shared" si="1"/>
        <v>5.2202729044834308</v>
      </c>
      <c r="Z9" s="3">
        <f t="shared" si="1"/>
        <v>86.522249123490468</v>
      </c>
      <c r="AA9" s="3">
        <f t="shared" si="1"/>
        <v>2.0628930817610063</v>
      </c>
      <c r="AB9" s="3">
        <f t="shared" si="1"/>
        <v>0.53007662835249036</v>
      </c>
      <c r="AC9" s="3">
        <f t="shared" si="1"/>
        <v>81.623255813953506</v>
      </c>
      <c r="AD9" s="3">
        <f t="shared" si="1"/>
        <v>0.57894736842105265</v>
      </c>
      <c r="AE9" s="3">
        <f t="shared" si="1"/>
        <v>0.8029069767441861</v>
      </c>
      <c r="AF9" s="3">
        <f t="shared" si="1"/>
        <v>8.5851351351351362</v>
      </c>
      <c r="AG9" s="3">
        <f t="shared" si="1"/>
        <v>2.9727095516569199E-2</v>
      </c>
      <c r="AH9" s="3">
        <f t="shared" si="1"/>
        <v>1.8216374269005848</v>
      </c>
      <c r="AI9" s="3">
        <f t="shared" si="1"/>
        <v>4.2021739130434783</v>
      </c>
      <c r="AJ9" s="3">
        <f t="shared" si="1"/>
        <v>605.98125000000005</v>
      </c>
      <c r="AK9" s="3">
        <f t="shared" si="1"/>
        <v>0.74590909090909085</v>
      </c>
      <c r="AL9" s="3">
        <f t="shared" si="1"/>
        <v>1.1895454545454545</v>
      </c>
      <c r="AM9" s="3">
        <f t="shared" si="1"/>
        <v>0.10011686793922868</v>
      </c>
      <c r="AN9" s="3">
        <f t="shared" si="1"/>
        <v>7.0893750000000004</v>
      </c>
      <c r="AO9" s="3">
        <f t="shared" si="1"/>
        <v>573.36249999999995</v>
      </c>
      <c r="AP9" s="3">
        <f t="shared" si="1"/>
        <v>1.9409999999999998</v>
      </c>
      <c r="AQ9" s="3">
        <f t="shared" si="1"/>
        <v>217.26666666666668</v>
      </c>
      <c r="AR9" s="3">
        <f t="shared" si="1"/>
        <v>131.10571428571427</v>
      </c>
      <c r="AS9" s="3">
        <f t="shared" si="1"/>
        <v>322.06571428571425</v>
      </c>
      <c r="AT9" s="3">
        <f t="shared" si="1"/>
        <v>198.61571428571426</v>
      </c>
      <c r="AU9" s="3">
        <f t="shared" si="1"/>
        <v>2.9805068226120861</v>
      </c>
      <c r="AV9" s="3">
        <f t="shared" si="1"/>
        <v>20.052144249512672</v>
      </c>
      <c r="AW9" s="3">
        <f t="shared" si="1"/>
        <v>0.22027290448343081</v>
      </c>
      <c r="AX9" s="3">
        <f t="shared" si="1"/>
        <v>0.2040909090909091</v>
      </c>
      <c r="AY9" s="3">
        <f t="shared" si="1"/>
        <v>1.0863636363636364</v>
      </c>
      <c r="AZ9" s="3">
        <f t="shared" si="1"/>
        <v>21.350454545454546</v>
      </c>
      <c r="BA9" s="3">
        <f t="shared" si="1"/>
        <v>2.4026881720430109</v>
      </c>
      <c r="BB9" s="3">
        <f t="shared" si="1"/>
        <v>1.4771428571428571</v>
      </c>
    </row>
    <row r="10" spans="1:54">
      <c r="A10" s="2" t="s">
        <v>6</v>
      </c>
      <c r="B10" s="2" t="s">
        <v>98</v>
      </c>
      <c r="C10" s="3">
        <v>151.10945454545455</v>
      </c>
      <c r="D10" s="3">
        <v>2195.8056756756755</v>
      </c>
      <c r="E10" s="3">
        <v>1.1379032258064516</v>
      </c>
      <c r="F10" s="3">
        <v>7.9928571428571429</v>
      </c>
      <c r="G10" s="3">
        <v>18.578589041095892</v>
      </c>
      <c r="H10" s="3">
        <v>38.265322580645162</v>
      </c>
      <c r="I10" s="3">
        <v>3.4870967741935486</v>
      </c>
      <c r="J10" s="3">
        <v>8.4661290322580651</v>
      </c>
      <c r="K10" s="3">
        <v>4.3072580645161294</v>
      </c>
      <c r="L10" s="3">
        <v>14.051715584415584</v>
      </c>
      <c r="M10" s="3">
        <v>839.14571428571423</v>
      </c>
      <c r="N10" s="3">
        <v>4.1249938053097344</v>
      </c>
      <c r="O10" s="3">
        <v>8.8276512820512814</v>
      </c>
      <c r="P10" s="3">
        <v>30.736363636363638</v>
      </c>
      <c r="Q10" s="3">
        <v>3.95082191780822</v>
      </c>
      <c r="R10" s="3">
        <v>0.47082723022984035</v>
      </c>
      <c r="S10" s="3">
        <v>5.4376237623762371</v>
      </c>
      <c r="T10" s="3">
        <v>7.255909558067831</v>
      </c>
      <c r="U10" s="3">
        <v>0.18100000000000002</v>
      </c>
      <c r="V10" s="3">
        <v>36.391816537467705</v>
      </c>
      <c r="W10" s="3">
        <v>22.799134218289083</v>
      </c>
      <c r="X10" s="3">
        <v>0.71818181818181825</v>
      </c>
      <c r="Y10" s="3">
        <v>3.6384015594541914</v>
      </c>
      <c r="Z10" s="3">
        <v>243.85454363069732</v>
      </c>
      <c r="AA10" s="3">
        <v>4.1194968553459121</v>
      </c>
      <c r="AB10" s="3">
        <v>0.22605363984674329</v>
      </c>
      <c r="AC10" s="3">
        <v>74.40813953488373</v>
      </c>
      <c r="AD10" s="3">
        <v>1.2105263157894737</v>
      </c>
      <c r="AE10" s="3">
        <v>0.52093023255813953</v>
      </c>
      <c r="AF10" s="3">
        <v>8.9504504504504503</v>
      </c>
      <c r="AG10" s="3">
        <v>0.10818713450292398</v>
      </c>
      <c r="AH10" s="3">
        <v>3.4795321637426899</v>
      </c>
      <c r="AI10" s="3">
        <v>7.7695652173913041</v>
      </c>
      <c r="AJ10" s="3">
        <v>2006.1724999999999</v>
      </c>
      <c r="AK10" s="3">
        <v>0.86363636363636365</v>
      </c>
      <c r="AL10" s="3">
        <v>1.4672727272727271</v>
      </c>
      <c r="AM10" s="3">
        <v>0.27697701597195168</v>
      </c>
      <c r="AN10" s="3">
        <v>5.9018750000000004</v>
      </c>
      <c r="AO10" s="3">
        <v>378.32299999999992</v>
      </c>
      <c r="AP10" s="3">
        <v>1.2729999999999999</v>
      </c>
      <c r="AQ10" s="3">
        <v>145.77333333333334</v>
      </c>
      <c r="AR10" s="3">
        <v>122.67142857142855</v>
      </c>
      <c r="AS10" s="3">
        <v>278.41714285714284</v>
      </c>
      <c r="AT10" s="3">
        <v>210.99714285714285</v>
      </c>
      <c r="AU10" s="3">
        <v>2.570175438596491</v>
      </c>
      <c r="AV10" s="3">
        <v>18.308966861598442</v>
      </c>
      <c r="AW10" s="3">
        <v>0.11793372319688109</v>
      </c>
      <c r="AX10" s="3">
        <v>0.15636363636363637</v>
      </c>
      <c r="AY10" s="3">
        <v>1.0909090909090911</v>
      </c>
      <c r="AZ10" s="3">
        <v>14.229090909090909</v>
      </c>
      <c r="BA10" s="3">
        <v>1.9817204301075269</v>
      </c>
      <c r="BB10" s="3">
        <v>0.29142857142857143</v>
      </c>
    </row>
    <row r="11" spans="1:54">
      <c r="A11" s="2" t="s">
        <v>99</v>
      </c>
      <c r="B11" s="2" t="s">
        <v>98</v>
      </c>
      <c r="C11" s="3">
        <f>AVERAGE(C10,C25)</f>
        <v>117.92990909090909</v>
      </c>
      <c r="D11" s="3">
        <f t="shared" ref="D11:BB11" si="2">AVERAGE(D10,D25)</f>
        <v>2185.6759459459458</v>
      </c>
      <c r="E11" s="3">
        <f t="shared" si="2"/>
        <v>1.1314516129032259</v>
      </c>
      <c r="F11" s="3">
        <f t="shared" si="2"/>
        <v>8.9</v>
      </c>
      <c r="G11" s="3">
        <f t="shared" si="2"/>
        <v>19.355986301369867</v>
      </c>
      <c r="H11" s="3">
        <f t="shared" si="2"/>
        <v>37.317741935483866</v>
      </c>
      <c r="I11" s="3">
        <f t="shared" si="2"/>
        <v>3.6479838709677423</v>
      </c>
      <c r="J11" s="3">
        <f t="shared" si="2"/>
        <v>7.0028225806451614</v>
      </c>
      <c r="K11" s="3">
        <f t="shared" si="2"/>
        <v>3.9387096774193546</v>
      </c>
      <c r="L11" s="3">
        <f t="shared" si="2"/>
        <v>12.804962337662337</v>
      </c>
      <c r="M11" s="3">
        <f t="shared" si="2"/>
        <v>757.99214285714288</v>
      </c>
      <c r="N11" s="3">
        <f t="shared" si="2"/>
        <v>7.3453477876106188</v>
      </c>
      <c r="O11" s="3">
        <f t="shared" si="2"/>
        <v>8.562266666666666</v>
      </c>
      <c r="P11" s="3">
        <f t="shared" si="2"/>
        <v>33.845454545454544</v>
      </c>
      <c r="Q11" s="3">
        <f t="shared" si="2"/>
        <v>3.4165753424657543</v>
      </c>
      <c r="R11" s="3">
        <f t="shared" si="2"/>
        <v>0.41083502142578887</v>
      </c>
      <c r="S11" s="3">
        <f t="shared" si="2"/>
        <v>5.4698019801980191</v>
      </c>
      <c r="T11" s="3">
        <f t="shared" si="2"/>
        <v>7.2377526550188422</v>
      </c>
      <c r="U11" s="3">
        <f t="shared" si="2"/>
        <v>0.21586486486486489</v>
      </c>
      <c r="V11" s="3">
        <f t="shared" si="2"/>
        <v>32.51972351421189</v>
      </c>
      <c r="W11" s="3">
        <f t="shared" si="2"/>
        <v>22.616980825958699</v>
      </c>
      <c r="X11" s="3">
        <f t="shared" si="2"/>
        <v>0.67954545454545467</v>
      </c>
      <c r="Y11" s="3">
        <f t="shared" si="2"/>
        <v>4.3313840155945424</v>
      </c>
      <c r="Z11" s="3">
        <f t="shared" si="2"/>
        <v>173.38044935722635</v>
      </c>
      <c r="AA11" s="3">
        <f t="shared" si="2"/>
        <v>3.10062893081761</v>
      </c>
      <c r="AB11" s="3">
        <f t="shared" si="2"/>
        <v>0.21379310344827585</v>
      </c>
      <c r="AC11" s="3">
        <f t="shared" si="2"/>
        <v>84.095348837209315</v>
      </c>
      <c r="AD11" s="3">
        <f t="shared" si="2"/>
        <v>0.79210526315789476</v>
      </c>
      <c r="AE11" s="3">
        <f t="shared" si="2"/>
        <v>0.7988372093023256</v>
      </c>
      <c r="AF11" s="3">
        <f t="shared" si="2"/>
        <v>8.4009009009009006</v>
      </c>
      <c r="AG11" s="3">
        <f t="shared" si="2"/>
        <v>9.0155945419103323E-2</v>
      </c>
      <c r="AH11" s="3">
        <f t="shared" si="2"/>
        <v>3.9342105263157894</v>
      </c>
      <c r="AI11" s="3">
        <f t="shared" si="2"/>
        <v>6.304347826086957</v>
      </c>
      <c r="AJ11" s="3">
        <f t="shared" si="2"/>
        <v>1447.83375</v>
      </c>
      <c r="AK11" s="3">
        <f t="shared" si="2"/>
        <v>1.1031818181818183</v>
      </c>
      <c r="AL11" s="3">
        <f t="shared" si="2"/>
        <v>2.7340909090909089</v>
      </c>
      <c r="AM11" s="3">
        <f t="shared" si="2"/>
        <v>0.21990650564861705</v>
      </c>
      <c r="AN11" s="3">
        <f t="shared" si="2"/>
        <v>6.0259375000000004</v>
      </c>
      <c r="AO11" s="3">
        <f t="shared" si="2"/>
        <v>298.77799999999996</v>
      </c>
      <c r="AP11" s="3">
        <f t="shared" si="2"/>
        <v>1.3234999999999999</v>
      </c>
      <c r="AQ11" s="3">
        <f t="shared" si="2"/>
        <v>172.60666666666668</v>
      </c>
      <c r="AR11" s="3">
        <f t="shared" si="2"/>
        <v>112.53428571428569</v>
      </c>
      <c r="AS11" s="3">
        <f t="shared" si="2"/>
        <v>337.32285714285712</v>
      </c>
      <c r="AT11" s="3">
        <f t="shared" si="2"/>
        <v>212.8485714285714</v>
      </c>
      <c r="AU11" s="3">
        <f t="shared" si="2"/>
        <v>3.3840155945419106</v>
      </c>
      <c r="AV11" s="3">
        <f t="shared" si="2"/>
        <v>23.121832358674464</v>
      </c>
      <c r="AW11" s="3">
        <f t="shared" si="2"/>
        <v>0.20614035087719301</v>
      </c>
      <c r="AX11" s="3">
        <f t="shared" si="2"/>
        <v>0.28500000000000003</v>
      </c>
      <c r="AY11" s="3">
        <f t="shared" si="2"/>
        <v>1.4727272727272729</v>
      </c>
      <c r="AZ11" s="3">
        <f t="shared" si="2"/>
        <v>24.462272727272726</v>
      </c>
      <c r="BA11" s="3">
        <f t="shared" si="2"/>
        <v>1.6693548387096775</v>
      </c>
      <c r="BB11" s="3">
        <f t="shared" si="2"/>
        <v>0.70714285714285707</v>
      </c>
    </row>
    <row r="12" spans="1:54">
      <c r="A12" s="2" t="s">
        <v>7</v>
      </c>
      <c r="B12" s="2" t="s">
        <v>100</v>
      </c>
      <c r="C12" s="3">
        <v>10.095818181818183</v>
      </c>
      <c r="D12" s="3">
        <v>2163.1570270270272</v>
      </c>
      <c r="E12" s="3">
        <v>1.0919354838709676</v>
      </c>
      <c r="F12" s="3">
        <v>13.571428571428571</v>
      </c>
      <c r="G12" s="3">
        <v>22.678589041095893</v>
      </c>
      <c r="H12" s="3">
        <v>80.331451612903223</v>
      </c>
      <c r="I12" s="3">
        <v>9.7298387096774182</v>
      </c>
      <c r="J12" s="3">
        <v>5.6967741935483875</v>
      </c>
      <c r="K12" s="3">
        <v>3.9233870967741935</v>
      </c>
      <c r="L12" s="3">
        <v>12.712754545454546</v>
      </c>
      <c r="M12" s="3">
        <v>968.20857142857119</v>
      </c>
      <c r="N12" s="3">
        <v>16.878091150442479</v>
      </c>
      <c r="O12" s="3">
        <v>7.8045743589743584</v>
      </c>
      <c r="P12" s="3">
        <v>35.572727272727271</v>
      </c>
      <c r="Q12" s="3">
        <v>3.4015068493150689</v>
      </c>
      <c r="R12" s="3">
        <v>0.7489729255940788</v>
      </c>
      <c r="S12" s="3">
        <v>6.4663366336633663</v>
      </c>
      <c r="T12" s="3">
        <v>48.995203836930457</v>
      </c>
      <c r="U12" s="3">
        <v>0.28694594594594597</v>
      </c>
      <c r="V12" s="3">
        <v>27.585614987080106</v>
      </c>
      <c r="W12" s="3">
        <v>22.364030973451328</v>
      </c>
      <c r="X12" s="3">
        <v>1.2272727272727273</v>
      </c>
      <c r="Y12" s="3">
        <v>4.4502923976608191</v>
      </c>
      <c r="Z12" s="3">
        <v>94.753258083365807</v>
      </c>
      <c r="AA12" s="3">
        <v>1.9811320754716981</v>
      </c>
      <c r="AB12" s="3">
        <v>0.29310344827586204</v>
      </c>
      <c r="AC12" s="3">
        <v>133.91744186046512</v>
      </c>
      <c r="AD12" s="3">
        <v>0.52631578947368418</v>
      </c>
      <c r="AE12" s="3">
        <v>0.84418604651162799</v>
      </c>
      <c r="AF12" s="3">
        <v>7.454954954954955</v>
      </c>
      <c r="AG12" s="3">
        <v>3.3138401559454189E-2</v>
      </c>
      <c r="AH12" s="3">
        <v>4.5594541910331383</v>
      </c>
      <c r="AI12" s="3">
        <v>4.0565217391304342</v>
      </c>
      <c r="AJ12" s="3">
        <v>348.6875</v>
      </c>
      <c r="AK12" s="3">
        <v>1.3672727272727274</v>
      </c>
      <c r="AL12" s="3">
        <v>2.5072727272727273</v>
      </c>
      <c r="AM12" s="3">
        <v>0.23217763926762761</v>
      </c>
      <c r="AN12" s="3">
        <v>2.9931249999999996</v>
      </c>
      <c r="AO12" s="3">
        <v>184.07499999999999</v>
      </c>
      <c r="AP12" s="3">
        <v>1.0189999999999999</v>
      </c>
      <c r="AQ12" s="3">
        <v>70.446666666666673</v>
      </c>
      <c r="AR12" s="3">
        <v>561.23142857142852</v>
      </c>
      <c r="AS12" s="3">
        <v>288.49142857142857</v>
      </c>
      <c r="AT12" s="3">
        <v>184.25714285714284</v>
      </c>
      <c r="AU12" s="3">
        <v>3.9152046783625734</v>
      </c>
      <c r="AV12" s="3">
        <v>18.331384015594544</v>
      </c>
      <c r="AW12" s="3">
        <v>0.48148148148148151</v>
      </c>
      <c r="AX12" s="3">
        <v>0.37999999999999995</v>
      </c>
      <c r="AY12" s="3">
        <v>2.2181818181818183</v>
      </c>
      <c r="AZ12" s="3">
        <v>24.747272727272726</v>
      </c>
      <c r="BA12" s="3">
        <v>1.0376344086021505</v>
      </c>
      <c r="BB12" s="3">
        <v>0.34857142857142859</v>
      </c>
    </row>
    <row r="13" spans="1:54">
      <c r="A13" s="2" t="s">
        <v>8</v>
      </c>
      <c r="B13" s="2" t="s">
        <v>100</v>
      </c>
      <c r="C13" s="3">
        <v>9.1480909090909091</v>
      </c>
      <c r="D13" s="3">
        <v>2158.7083783783787</v>
      </c>
      <c r="E13" s="3">
        <v>1.1677419354838712</v>
      </c>
      <c r="F13" s="3">
        <v>12.453571428571429</v>
      </c>
      <c r="G13" s="3">
        <v>25.737493150684934</v>
      </c>
      <c r="H13" s="3">
        <v>40.138709677419357</v>
      </c>
      <c r="I13" s="3">
        <v>5.2225806451612904</v>
      </c>
      <c r="J13" s="3">
        <v>8.0943548387096786</v>
      </c>
      <c r="K13" s="3">
        <v>2.3443548387096778</v>
      </c>
      <c r="L13" s="3">
        <v>14.741325974025973</v>
      </c>
      <c r="M13" s="3">
        <v>589.75857142857126</v>
      </c>
      <c r="N13" s="3">
        <v>13.018799115044247</v>
      </c>
      <c r="O13" s="3">
        <v>12.577651282051283</v>
      </c>
      <c r="P13" s="3">
        <v>32.218181818181819</v>
      </c>
      <c r="Q13" s="3">
        <v>5.30972602739726</v>
      </c>
      <c r="R13" s="3">
        <v>0.8833710557070511</v>
      </c>
      <c r="S13" s="3">
        <v>5.8841584158415845</v>
      </c>
      <c r="T13" s="3">
        <v>30.514902363823225</v>
      </c>
      <c r="U13" s="3">
        <v>0.22748648648648648</v>
      </c>
      <c r="V13" s="3">
        <v>35.757449612403107</v>
      </c>
      <c r="W13" s="3">
        <v>22.218013274336283</v>
      </c>
      <c r="X13" s="3">
        <v>1.3454545454545457</v>
      </c>
      <c r="Y13" s="3">
        <v>2.6871345029239766</v>
      </c>
      <c r="Z13" s="3">
        <v>108.9488171016751</v>
      </c>
      <c r="AA13" s="3">
        <v>2.5723270440251569</v>
      </c>
      <c r="AB13" s="3">
        <v>0.29808429118773944</v>
      </c>
      <c r="AC13" s="3">
        <v>59.598837209302324</v>
      </c>
      <c r="AD13" s="3">
        <v>0.63684210526315788</v>
      </c>
      <c r="AE13" s="3">
        <v>1.3976744186046512</v>
      </c>
      <c r="AF13" s="3">
        <v>9.377477477477477</v>
      </c>
      <c r="AG13" s="3">
        <v>3.9961013645224176E-2</v>
      </c>
      <c r="AH13" s="3">
        <v>2.5350877192982457</v>
      </c>
      <c r="AI13" s="3">
        <v>8.5130434782608706</v>
      </c>
      <c r="AJ13" s="3">
        <v>528.45749999999998</v>
      </c>
      <c r="AK13" s="3">
        <v>0.90181818181818174</v>
      </c>
      <c r="AL13" s="3">
        <v>2.7445454545454546</v>
      </c>
      <c r="AM13" s="3">
        <v>0.31515387611998441</v>
      </c>
      <c r="AN13" s="3">
        <v>4.2193750000000003</v>
      </c>
      <c r="AO13" s="3">
        <v>417.11899999999997</v>
      </c>
      <c r="AP13" s="3">
        <v>1.028</v>
      </c>
      <c r="AQ13" s="3">
        <v>89.546666666666667</v>
      </c>
      <c r="AR13" s="3">
        <v>60.705714285714272</v>
      </c>
      <c r="AS13" s="3">
        <v>344.22285714285715</v>
      </c>
      <c r="AT13" s="3">
        <v>145.11714285714285</v>
      </c>
      <c r="AU13" s="3">
        <v>2.0058479532163744</v>
      </c>
      <c r="AV13" s="3">
        <v>12.117933723196883</v>
      </c>
      <c r="AW13" s="3">
        <v>0.66276803118908389</v>
      </c>
      <c r="AX13" s="3">
        <v>0.21181818181818182</v>
      </c>
      <c r="AY13" s="3">
        <v>1.1818181818181819</v>
      </c>
      <c r="AZ13" s="3">
        <v>28.189090909090908</v>
      </c>
      <c r="BA13" s="3">
        <v>1.553763440860215</v>
      </c>
      <c r="BB13" s="3">
        <v>0.19714285714285712</v>
      </c>
    </row>
    <row r="14" spans="1:54">
      <c r="A14" s="2" t="s">
        <v>9</v>
      </c>
      <c r="B14" s="2" t="s">
        <v>100</v>
      </c>
      <c r="C14" s="3">
        <v>88.104909090909089</v>
      </c>
      <c r="D14" s="3">
        <v>2362.7597297297298</v>
      </c>
      <c r="E14" s="3">
        <v>1.704032258064516</v>
      </c>
      <c r="F14" s="3">
        <v>9.8285714285714292</v>
      </c>
      <c r="G14" s="3">
        <v>28.99639726027398</v>
      </c>
      <c r="H14" s="3">
        <v>50.641935483870974</v>
      </c>
      <c r="I14" s="3">
        <v>5.032258064516129</v>
      </c>
      <c r="J14" s="3">
        <v>6.6435483870967742</v>
      </c>
      <c r="K14" s="3">
        <v>5.6838709677419352</v>
      </c>
      <c r="L14" s="3">
        <v>14.960806493506494</v>
      </c>
      <c r="M14" s="3">
        <v>508.99714285714276</v>
      </c>
      <c r="N14" s="3">
        <v>3.9913654867256638</v>
      </c>
      <c r="O14" s="3">
        <v>10.332779487179486</v>
      </c>
      <c r="P14" s="3">
        <v>29.454545454545457</v>
      </c>
      <c r="Q14" s="3">
        <v>5.0741095890410959</v>
      </c>
      <c r="R14" s="3">
        <v>0.73923393065835619</v>
      </c>
      <c r="S14" s="3">
        <v>13.64059405940594</v>
      </c>
      <c r="T14" s="3">
        <v>14.302500856457691</v>
      </c>
      <c r="U14" s="3">
        <v>0.30802702702702706</v>
      </c>
      <c r="V14" s="3">
        <v>35.243237726098194</v>
      </c>
      <c r="W14" s="3">
        <v>17.942202064896755</v>
      </c>
      <c r="X14" s="3">
        <v>0.86363636363636365</v>
      </c>
      <c r="Y14" s="3">
        <v>4.9210526315789478</v>
      </c>
      <c r="Z14" s="3">
        <v>242.28228028827428</v>
      </c>
      <c r="AA14" s="3">
        <v>3.4654088050314464</v>
      </c>
      <c r="AB14" s="3">
        <v>0.28582375478927202</v>
      </c>
      <c r="AC14" s="3">
        <v>100.18139534883723</v>
      </c>
      <c r="AD14" s="3">
        <v>1.0999999999999999</v>
      </c>
      <c r="AE14" s="3">
        <v>1.0639534883720931</v>
      </c>
      <c r="AF14" s="3">
        <v>7.685585585585585</v>
      </c>
      <c r="AG14" s="3">
        <v>6.9200779727095527E-2</v>
      </c>
      <c r="AH14" s="3">
        <v>5.6013645224171542</v>
      </c>
      <c r="AI14" s="3">
        <v>6.7826086956521738</v>
      </c>
      <c r="AJ14" s="3">
        <v>1066.5250000000001</v>
      </c>
      <c r="AK14" s="3">
        <v>1.6509090909090911</v>
      </c>
      <c r="AL14" s="3">
        <v>5.9163636363636369</v>
      </c>
      <c r="AM14" s="3">
        <v>0.39657187378262565</v>
      </c>
      <c r="AN14" s="3">
        <v>3.7031249999999996</v>
      </c>
      <c r="AO14" s="3">
        <v>414.87</v>
      </c>
      <c r="AP14" s="3">
        <v>1.3739999999999999</v>
      </c>
      <c r="AQ14" s="3">
        <v>172.26666666666668</v>
      </c>
      <c r="AR14" s="3">
        <v>85.922857142857126</v>
      </c>
      <c r="AS14" s="3">
        <v>386.44857142857143</v>
      </c>
      <c r="AT14" s="3">
        <v>201.83142857142855</v>
      </c>
      <c r="AU14" s="3">
        <v>4.1198830409356733</v>
      </c>
      <c r="AV14" s="3">
        <v>22.620857699805068</v>
      </c>
      <c r="AW14" s="3">
        <v>1.0146198830409356</v>
      </c>
      <c r="AX14" s="3">
        <v>0.25909090909090909</v>
      </c>
      <c r="AY14" s="3">
        <v>1.6818181818181819</v>
      </c>
      <c r="AZ14" s="3">
        <v>16.933636363636364</v>
      </c>
      <c r="BA14" s="3">
        <v>2.3182795698924732</v>
      </c>
      <c r="BB14" s="3">
        <v>0.35714285714285715</v>
      </c>
    </row>
    <row r="15" spans="1:54">
      <c r="A15" s="2" t="s">
        <v>10</v>
      </c>
      <c r="B15" s="2" t="s">
        <v>100</v>
      </c>
      <c r="C15" s="3">
        <v>110.54127272727273</v>
      </c>
      <c r="D15" s="3">
        <v>1890.7110810810811</v>
      </c>
      <c r="E15" s="3">
        <v>1.5411290322580644</v>
      </c>
      <c r="F15" s="3">
        <v>9.0928571428571416</v>
      </c>
      <c r="G15" s="3">
        <v>18.226534246575344</v>
      </c>
      <c r="H15" s="3">
        <v>57.740322580645163</v>
      </c>
      <c r="I15" s="3">
        <v>16.153225806451616</v>
      </c>
      <c r="J15" s="3">
        <v>6.5032258064516126</v>
      </c>
      <c r="K15" s="3">
        <v>3.6927419354838706</v>
      </c>
      <c r="L15" s="3">
        <v>11.966001298701299</v>
      </c>
      <c r="M15" s="3">
        <v>826.51999999999987</v>
      </c>
      <c r="N15" s="3">
        <v>12.32056902654867</v>
      </c>
      <c r="O15" s="3">
        <v>8.9776512820512817</v>
      </c>
      <c r="P15" s="3">
        <v>28.836363636363636</v>
      </c>
      <c r="Q15" s="3">
        <v>3.6590410958904114</v>
      </c>
      <c r="R15" s="3">
        <v>0.60561492014024165</v>
      </c>
      <c r="S15" s="3">
        <v>4.7633663366336636</v>
      </c>
      <c r="T15" s="3">
        <v>10.711545049674546</v>
      </c>
      <c r="U15" s="3">
        <v>0.28424324324324324</v>
      </c>
      <c r="V15" s="3">
        <v>33.023599483204144</v>
      </c>
      <c r="W15" s="3">
        <v>28.17081563421829</v>
      </c>
      <c r="X15" s="3">
        <v>1.4727272727272727</v>
      </c>
      <c r="Y15" s="3">
        <v>4.3762183235867447</v>
      </c>
      <c r="Z15" s="3">
        <v>123.69170763537204</v>
      </c>
      <c r="AA15" s="3">
        <v>2.6037735849056602</v>
      </c>
      <c r="AB15" s="3">
        <v>0.18122605363984676</v>
      </c>
      <c r="AC15" s="3">
        <v>140.95000000000002</v>
      </c>
      <c r="AD15" s="3">
        <v>1.0105263157894737</v>
      </c>
      <c r="AE15" s="3">
        <v>0.88372093023255816</v>
      </c>
      <c r="AF15" s="3">
        <v>6.692792792792793</v>
      </c>
      <c r="AG15" s="3">
        <v>4.5808966861598445E-2</v>
      </c>
      <c r="AH15" s="3">
        <v>5.5068226120857693</v>
      </c>
      <c r="AI15" s="3">
        <v>4.6391304347826088</v>
      </c>
      <c r="AJ15" s="3">
        <v>630.33249999999998</v>
      </c>
      <c r="AK15" s="3">
        <v>1.9309090909090909</v>
      </c>
      <c r="AL15" s="3">
        <v>4.8036363636363637</v>
      </c>
      <c r="AM15" s="3">
        <v>0.34047526295286329</v>
      </c>
      <c r="AN15" s="3">
        <v>4.5050000000000008</v>
      </c>
      <c r="AO15" s="3">
        <v>411.09899999999999</v>
      </c>
      <c r="AP15" s="3">
        <v>1.0069999999999999</v>
      </c>
      <c r="AQ15" s="3">
        <v>104.67333333333335</v>
      </c>
      <c r="AR15" s="3">
        <v>101.26285714285713</v>
      </c>
      <c r="AS15" s="3">
        <v>262.18571428571425</v>
      </c>
      <c r="AT15" s="3">
        <v>151.70285714285711</v>
      </c>
      <c r="AU15" s="3">
        <v>4.2563352826510723</v>
      </c>
      <c r="AV15" s="3">
        <v>19.354775828460038</v>
      </c>
      <c r="AW15" s="3">
        <v>0.28460038986354774</v>
      </c>
      <c r="AX15" s="3">
        <v>0.45999999999999996</v>
      </c>
      <c r="AY15" s="3">
        <v>1.9454545454545455</v>
      </c>
      <c r="AZ15" s="3">
        <v>30.337272727272726</v>
      </c>
      <c r="BA15" s="3">
        <v>1.7838709677419353</v>
      </c>
      <c r="BB15" s="3">
        <v>0.38857142857142851</v>
      </c>
    </row>
    <row r="16" spans="1:54">
      <c r="A16" s="2" t="s">
        <v>11</v>
      </c>
      <c r="B16" s="2" t="s">
        <v>101</v>
      </c>
      <c r="C16" s="3">
        <v>7.3571818181818189</v>
      </c>
      <c r="D16" s="3">
        <v>2826.2083783783783</v>
      </c>
      <c r="E16" s="3">
        <v>0.55241935483870974</v>
      </c>
      <c r="F16" s="3">
        <v>15.996428571428572</v>
      </c>
      <c r="G16" s="3">
        <v>33.973109589041101</v>
      </c>
      <c r="H16" s="3">
        <v>4.9145161290322585</v>
      </c>
      <c r="I16" s="3">
        <v>3.4524193548387094</v>
      </c>
      <c r="J16" s="3">
        <v>1.0580645161290323</v>
      </c>
      <c r="K16" s="3">
        <v>3.8927419354838713</v>
      </c>
      <c r="L16" s="3">
        <v>8.0257415584415597</v>
      </c>
      <c r="M16" s="3">
        <v>1150.3957142857141</v>
      </c>
      <c r="N16" s="3">
        <v>13.36481681415929</v>
      </c>
      <c r="O16" s="3">
        <v>4.2738051282051277</v>
      </c>
      <c r="P16" s="3">
        <v>32.018181818181823</v>
      </c>
      <c r="Q16" s="3">
        <v>1.5754794520547946</v>
      </c>
      <c r="R16" s="3">
        <v>0.54133755356447222</v>
      </c>
      <c r="S16" s="3">
        <v>5.5524752475247521</v>
      </c>
      <c r="T16" s="3">
        <v>50.752997601918466</v>
      </c>
      <c r="U16" s="3">
        <v>0.33181081081081082</v>
      </c>
      <c r="V16" s="3">
        <v>33.434452196382438</v>
      </c>
      <c r="W16" s="3">
        <v>30.869930678466076</v>
      </c>
      <c r="X16" s="3">
        <v>0.46363636363636368</v>
      </c>
      <c r="Y16" s="3">
        <v>5.0487329434697861</v>
      </c>
      <c r="Z16" s="3">
        <v>138.33058570315544</v>
      </c>
      <c r="AA16" s="3">
        <v>2.6100628930817611</v>
      </c>
      <c r="AB16" s="3">
        <v>0.26743295019157087</v>
      </c>
      <c r="AC16" s="3">
        <v>162.06744186046512</v>
      </c>
      <c r="AD16" s="3">
        <v>0.66842105263157892</v>
      </c>
      <c r="AE16" s="3">
        <v>0.72906976744186058</v>
      </c>
      <c r="AF16" s="3">
        <v>10.817117117117117</v>
      </c>
      <c r="AG16" s="3">
        <v>3.7037037037037035E-2</v>
      </c>
      <c r="AH16" s="3">
        <v>6.1871345029239775</v>
      </c>
      <c r="AI16" s="3">
        <v>5.4304347826086961</v>
      </c>
      <c r="AJ16" s="3">
        <v>481.21</v>
      </c>
      <c r="AK16" s="3">
        <v>1.5245454545454544</v>
      </c>
      <c r="AL16" s="3">
        <v>3.9836363636363634</v>
      </c>
      <c r="AM16" s="3">
        <v>0.27658745617452279</v>
      </c>
      <c r="AN16" s="3">
        <v>4.8493750000000002</v>
      </c>
      <c r="AO16" s="3">
        <v>283.74199999999996</v>
      </c>
      <c r="AP16" s="3">
        <v>1.607</v>
      </c>
      <c r="AQ16" s="3">
        <v>145.08000000000001</v>
      </c>
      <c r="AR16" s="3">
        <v>56.568571428571424</v>
      </c>
      <c r="AS16" s="3">
        <v>349.49714285714282</v>
      </c>
      <c r="AT16" s="3">
        <v>216.17142857142855</v>
      </c>
      <c r="AU16" s="3">
        <v>4.7758284600389862</v>
      </c>
      <c r="AV16" s="3">
        <v>20.521442495126706</v>
      </c>
      <c r="AW16" s="3">
        <v>0.45516569200779727</v>
      </c>
      <c r="AX16" s="3">
        <v>0.62636363636363634</v>
      </c>
      <c r="AY16" s="3">
        <v>2.3000000000000003</v>
      </c>
      <c r="AZ16" s="3">
        <v>24.095454545454547</v>
      </c>
      <c r="BA16" s="3">
        <v>1.7258064516129032</v>
      </c>
      <c r="BB16" s="3">
        <v>0.52857142857142847</v>
      </c>
    </row>
    <row r="17" spans="1:54">
      <c r="A17" s="2" t="s">
        <v>12</v>
      </c>
      <c r="B17" s="2" t="s">
        <v>102</v>
      </c>
      <c r="C17" s="3">
        <v>301.31400000000008</v>
      </c>
      <c r="D17" s="3">
        <v>2518.0191891891895</v>
      </c>
      <c r="E17" s="3">
        <v>0.98790322580645162</v>
      </c>
      <c r="F17" s="3">
        <v>7.3999999999999995</v>
      </c>
      <c r="G17" s="3">
        <v>24.262150684931513</v>
      </c>
      <c r="H17" s="3">
        <v>70.989516129032253</v>
      </c>
      <c r="I17" s="3">
        <v>24.908064516129034</v>
      </c>
      <c r="J17" s="3">
        <v>8.183064516129031</v>
      </c>
      <c r="K17" s="3">
        <v>4.6403225806451616</v>
      </c>
      <c r="L17" s="3">
        <v>23.881585714285716</v>
      </c>
      <c r="M17" s="3">
        <v>717.2414285714284</v>
      </c>
      <c r="N17" s="3">
        <v>14.60906460176991</v>
      </c>
      <c r="O17" s="3">
        <v>15.039189743589743</v>
      </c>
      <c r="P17" s="3">
        <v>25.418181818181822</v>
      </c>
      <c r="Q17" s="3">
        <v>6.568630136986302</v>
      </c>
      <c r="R17" s="3">
        <v>1.1587898324892871</v>
      </c>
      <c r="S17" s="3">
        <v>6.6623762376237625</v>
      </c>
      <c r="T17" s="3">
        <v>6.4196642685851319</v>
      </c>
      <c r="U17" s="3">
        <v>0.26316216216216215</v>
      </c>
      <c r="V17" s="3">
        <v>35.336260981912147</v>
      </c>
      <c r="W17" s="3">
        <v>19.925977876106195</v>
      </c>
      <c r="X17" s="3">
        <v>0.98181818181818192</v>
      </c>
      <c r="Y17" s="3">
        <v>2.9298245614035086</v>
      </c>
      <c r="Z17" s="3">
        <v>73.699888391118037</v>
      </c>
      <c r="AA17" s="3">
        <v>1.6477987421383649</v>
      </c>
      <c r="AB17" s="3">
        <v>0.18084291187739462</v>
      </c>
      <c r="AC17" s="3">
        <v>84.441860465116278</v>
      </c>
      <c r="AD17" s="3">
        <v>0.95789473684210535</v>
      </c>
      <c r="AE17" s="3">
        <v>0.77093023255813953</v>
      </c>
      <c r="AF17" s="3">
        <v>8.4900900900900904</v>
      </c>
      <c r="AG17" s="3">
        <v>4.5808966861598445E-2</v>
      </c>
      <c r="AH17" s="3">
        <v>2.3362573099415207</v>
      </c>
      <c r="AI17" s="3">
        <v>2.5217391304347827</v>
      </c>
      <c r="AJ17" s="3">
        <v>377.65749999999997</v>
      </c>
      <c r="AK17" s="3">
        <v>0.6890909090909092</v>
      </c>
      <c r="AL17" s="3">
        <v>1.1663636363636363</v>
      </c>
      <c r="AM17" s="3">
        <v>0.17140631086871835</v>
      </c>
      <c r="AN17" s="3">
        <v>3.71875</v>
      </c>
      <c r="AO17" s="3">
        <v>228.227</v>
      </c>
      <c r="AP17" s="3">
        <v>0.80199999999999994</v>
      </c>
      <c r="AQ17" s="3">
        <v>50.666666666666671</v>
      </c>
      <c r="AR17" s="3">
        <v>39.125714285714281</v>
      </c>
      <c r="AS17" s="3">
        <v>286.45428571428567</v>
      </c>
      <c r="AT17" s="3">
        <v>18.397142857142857</v>
      </c>
      <c r="AU17" s="3">
        <v>1.9074074074074077</v>
      </c>
      <c r="AV17" s="3">
        <v>13.423976608187134</v>
      </c>
      <c r="AW17" s="3">
        <v>0.18421052631578949</v>
      </c>
      <c r="AX17" s="3">
        <v>0.11727272727272728</v>
      </c>
      <c r="AY17" s="3">
        <v>0.60909090909090913</v>
      </c>
      <c r="AZ17" s="3">
        <v>20.458181818181817</v>
      </c>
      <c r="BA17" s="3">
        <v>2.0838709677419356</v>
      </c>
      <c r="BB17" s="3">
        <v>0.21999999999999997</v>
      </c>
    </row>
    <row r="18" spans="1:54">
      <c r="A18" s="2" t="s">
        <v>13</v>
      </c>
      <c r="B18" s="2" t="s">
        <v>103</v>
      </c>
      <c r="C18" s="3">
        <v>179.95263636363637</v>
      </c>
      <c r="D18" s="3">
        <v>1630.4056756756756</v>
      </c>
      <c r="E18" s="3">
        <v>13.587096774193549</v>
      </c>
      <c r="F18" s="3">
        <v>8.9035714285714285</v>
      </c>
      <c r="G18" s="3">
        <v>36.56215068493151</v>
      </c>
      <c r="H18" s="3">
        <v>59.061290322580646</v>
      </c>
      <c r="I18" s="3">
        <v>6.5741935483870968</v>
      </c>
      <c r="J18" s="3">
        <v>3.0459677419354838</v>
      </c>
      <c r="K18" s="3">
        <v>2.475806451612903</v>
      </c>
      <c r="L18" s="3">
        <v>16.784183116883117</v>
      </c>
      <c r="M18" s="3">
        <v>526.77142857142849</v>
      </c>
      <c r="N18" s="3">
        <v>12.039153097345132</v>
      </c>
      <c r="O18" s="3">
        <v>13.393035897435896</v>
      </c>
      <c r="P18" s="3">
        <v>46.918181818181822</v>
      </c>
      <c r="Q18" s="3">
        <v>4.4727397260273971</v>
      </c>
      <c r="R18" s="3">
        <v>1.3188989092325674</v>
      </c>
      <c r="S18" s="3">
        <v>6.4079207920792074</v>
      </c>
      <c r="T18" s="3">
        <v>17.204179513532029</v>
      </c>
      <c r="U18" s="3">
        <v>0.11235135135135135</v>
      </c>
      <c r="V18" s="3">
        <v>47.820757105943159</v>
      </c>
      <c r="W18" s="3">
        <v>32.120668141592922</v>
      </c>
      <c r="X18" s="3">
        <v>1.740909090909091</v>
      </c>
      <c r="Y18" s="3">
        <v>5.0438596491228065</v>
      </c>
      <c r="Z18" s="3">
        <v>126.24137650954422</v>
      </c>
      <c r="AA18" s="3">
        <v>2.3459119496855343</v>
      </c>
      <c r="AB18" s="3">
        <v>1.4157088122605364</v>
      </c>
      <c r="AC18" s="3">
        <v>84.355813953488379</v>
      </c>
      <c r="AD18" s="3">
        <v>4</v>
      </c>
      <c r="AE18" s="3">
        <v>1.0767441860465117</v>
      </c>
      <c r="AF18" s="3">
        <v>15.192792792792792</v>
      </c>
      <c r="AG18" s="3">
        <v>0.1335282651072125</v>
      </c>
      <c r="AH18" s="3">
        <v>6.4415204678362583</v>
      </c>
      <c r="AI18" s="3">
        <v>8.5695652173913039</v>
      </c>
      <c r="AJ18" s="3">
        <v>915.13249999999994</v>
      </c>
      <c r="AK18" s="3">
        <v>1.3499999999999999</v>
      </c>
      <c r="AL18" s="3">
        <v>5.1981818181818182</v>
      </c>
      <c r="AM18" s="3">
        <v>0.51733541098558633</v>
      </c>
      <c r="AN18" s="3">
        <v>3.4937499999999999</v>
      </c>
      <c r="AO18" s="3">
        <v>508.08799999999997</v>
      </c>
      <c r="AP18" s="3">
        <v>2.1799999999999997</v>
      </c>
      <c r="AQ18" s="3">
        <v>184.82</v>
      </c>
      <c r="AR18" s="3">
        <v>194.01428571428568</v>
      </c>
      <c r="AS18" s="3">
        <v>179.84</v>
      </c>
      <c r="AT18" s="3">
        <v>105.84285714285713</v>
      </c>
      <c r="AU18" s="3">
        <v>3.5019493177387915</v>
      </c>
      <c r="AV18" s="3">
        <v>27.345029239766085</v>
      </c>
      <c r="AW18" s="3">
        <v>1.0087719298245614</v>
      </c>
      <c r="AX18" s="3">
        <v>0.68</v>
      </c>
      <c r="AY18" s="3">
        <v>2.1545454545454548</v>
      </c>
      <c r="AZ18" s="3">
        <v>49.679090909090903</v>
      </c>
      <c r="BA18" s="3">
        <v>1.4731182795698925</v>
      </c>
      <c r="BB18" s="3">
        <v>0.76285714285714279</v>
      </c>
    </row>
    <row r="19" spans="1:54">
      <c r="A19" s="2" t="s">
        <v>14</v>
      </c>
      <c r="B19" s="2" t="s">
        <v>103</v>
      </c>
      <c r="C19" s="3">
        <v>87.348090909090914</v>
      </c>
      <c r="D19" s="3">
        <v>1632.6840540540541</v>
      </c>
      <c r="E19" s="3">
        <v>21.07741935483871</v>
      </c>
      <c r="F19" s="3">
        <v>33.396428571428572</v>
      </c>
      <c r="G19" s="3">
        <v>30.345712328767124</v>
      </c>
      <c r="H19" s="3">
        <v>31.386290322580646</v>
      </c>
      <c r="I19" s="3">
        <v>6.5266129032258062</v>
      </c>
      <c r="J19" s="3">
        <v>15.010483870967741</v>
      </c>
      <c r="K19" s="3">
        <v>7.7685483870967742</v>
      </c>
      <c r="L19" s="3">
        <v>26.391975324675325</v>
      </c>
      <c r="M19" s="3">
        <v>473.77571428571423</v>
      </c>
      <c r="N19" s="3">
        <v>33.40463982300885</v>
      </c>
      <c r="O19" s="3">
        <v>22.159702564102563</v>
      </c>
      <c r="P19" s="3">
        <v>37.56363636363637</v>
      </c>
      <c r="Q19" s="3">
        <v>9.1412328767123299</v>
      </c>
      <c r="R19" s="3">
        <v>2.1841112193221663</v>
      </c>
      <c r="S19" s="3">
        <v>13.714851485148515</v>
      </c>
      <c r="T19" s="3">
        <v>19.44981157930798</v>
      </c>
      <c r="U19" s="3">
        <v>0.26262162162162161</v>
      </c>
      <c r="V19" s="3">
        <v>76.997759689922489</v>
      </c>
      <c r="W19" s="3">
        <v>47.912703539823006</v>
      </c>
      <c r="X19" s="3">
        <v>2.7090909090909094</v>
      </c>
      <c r="Y19" s="3">
        <v>6.5877192982456139</v>
      </c>
      <c r="Z19" s="3">
        <v>142.89038313206078</v>
      </c>
      <c r="AA19" s="3">
        <v>2.9182389937106916</v>
      </c>
      <c r="AB19" s="3">
        <v>1.9080459770114941</v>
      </c>
      <c r="AC19" s="3">
        <v>109.13604651162791</v>
      </c>
      <c r="AD19" s="3">
        <v>3.4368421052631577</v>
      </c>
      <c r="AE19" s="3">
        <v>1.5511627906976744</v>
      </c>
      <c r="AF19" s="3">
        <v>24.659459459459459</v>
      </c>
      <c r="AG19" s="3">
        <v>0.12670565302144249</v>
      </c>
      <c r="AH19" s="3">
        <v>8.2504873294346979</v>
      </c>
      <c r="AI19" s="3">
        <v>8.339130434782609</v>
      </c>
      <c r="AJ19" s="3">
        <v>1840.1424999999999</v>
      </c>
      <c r="AK19" s="3">
        <v>2.2172727272727273</v>
      </c>
      <c r="AL19" s="3">
        <v>5.79</v>
      </c>
      <c r="AM19" s="3">
        <v>0.53369692247760037</v>
      </c>
      <c r="AN19" s="3">
        <v>14.945</v>
      </c>
      <c r="AO19" s="3">
        <v>387.27699999999999</v>
      </c>
      <c r="AP19" s="3">
        <v>2.3219999999999996</v>
      </c>
      <c r="AQ19" s="3">
        <v>251.41333333333333</v>
      </c>
      <c r="AR19" s="3">
        <v>210.01999999999998</v>
      </c>
      <c r="AS19" s="3">
        <v>186.27714285714285</v>
      </c>
      <c r="AT19" s="3">
        <v>131.62857142857143</v>
      </c>
      <c r="AU19" s="3">
        <v>4.9912280701754383</v>
      </c>
      <c r="AV19" s="3">
        <v>47.768031189083821</v>
      </c>
      <c r="AW19" s="3">
        <v>1.2095516569200779</v>
      </c>
      <c r="AX19" s="3">
        <v>0.8009090909090909</v>
      </c>
      <c r="AY19" s="3">
        <v>3.663636363636364</v>
      </c>
      <c r="AZ19" s="3">
        <v>50.286363636363639</v>
      </c>
      <c r="BA19" s="3">
        <v>1.6645161290322581</v>
      </c>
      <c r="BB19" s="3">
        <v>1.7914285714285714</v>
      </c>
    </row>
    <row r="20" spans="1:54">
      <c r="A20" s="2" t="s">
        <v>15</v>
      </c>
      <c r="B20" s="2" t="s">
        <v>92</v>
      </c>
      <c r="C20" s="3">
        <v>157.4458181818182</v>
      </c>
      <c r="D20" s="3">
        <v>2048.6354054054054</v>
      </c>
      <c r="E20" s="3">
        <v>4.5435483870967746</v>
      </c>
      <c r="F20" s="3">
        <v>8.0892857142857135</v>
      </c>
      <c r="G20" s="3">
        <v>30.85941095890411</v>
      </c>
      <c r="H20" s="3">
        <v>13.689516129032258</v>
      </c>
      <c r="I20" s="3">
        <v>1.7508064516129032</v>
      </c>
      <c r="J20" s="3">
        <v>1.9467741935483871</v>
      </c>
      <c r="K20" s="3">
        <v>2.1112903225806452</v>
      </c>
      <c r="L20" s="3">
        <v>10.884183116883117</v>
      </c>
      <c r="M20" s="3">
        <v>603.08714285714268</v>
      </c>
      <c r="N20" s="3">
        <v>6.5621619469026546</v>
      </c>
      <c r="O20" s="3">
        <v>9.8084205128205113</v>
      </c>
      <c r="P20" s="3">
        <v>31.363636363636363</v>
      </c>
      <c r="Q20" s="3">
        <v>3.553561643835617</v>
      </c>
      <c r="R20" s="3">
        <v>0.80506953642384116</v>
      </c>
      <c r="S20" s="3">
        <v>5.4277227722772272</v>
      </c>
      <c r="T20" s="3">
        <v>9.9917780061664949</v>
      </c>
      <c r="U20" s="3">
        <v>0.18045945945945946</v>
      </c>
      <c r="V20" s="3">
        <v>48.796209302325586</v>
      </c>
      <c r="W20" s="3">
        <v>27.874355457227139</v>
      </c>
      <c r="X20" s="3">
        <v>0.85454545454545461</v>
      </c>
      <c r="Y20" s="3">
        <v>3.7007797270955165</v>
      </c>
      <c r="Z20" s="3">
        <v>135.93946766653681</v>
      </c>
      <c r="AA20" s="3">
        <v>2.4088050314465406</v>
      </c>
      <c r="AB20" s="3">
        <v>0.64942528735632188</v>
      </c>
      <c r="AC20" s="3">
        <v>70.915116279069778</v>
      </c>
      <c r="AD20" s="3">
        <v>1.4526315789473685</v>
      </c>
      <c r="AE20" s="3">
        <v>0.2558139534883721</v>
      </c>
      <c r="AF20" s="3">
        <v>9.108108108108107</v>
      </c>
      <c r="AG20" s="3">
        <v>6.8226120857699815E-2</v>
      </c>
      <c r="AH20" s="3">
        <v>3.8586744639376218</v>
      </c>
      <c r="AI20" s="3">
        <v>5.5913043478260871</v>
      </c>
      <c r="AJ20" s="3">
        <v>792.96249999999998</v>
      </c>
      <c r="AK20" s="3">
        <v>0.95727272727272728</v>
      </c>
      <c r="AL20" s="3">
        <v>1.7427272727272729</v>
      </c>
      <c r="AM20" s="3">
        <v>0.20919361121932217</v>
      </c>
      <c r="AN20" s="3">
        <v>5.8862500000000004</v>
      </c>
      <c r="AO20" s="3">
        <v>245.99399999999997</v>
      </c>
      <c r="AP20" s="3">
        <v>4.1229999999999993</v>
      </c>
      <c r="AQ20" s="3">
        <v>188.53333333333333</v>
      </c>
      <c r="AR20" s="3">
        <v>56.077142857142846</v>
      </c>
      <c r="AS20" s="3">
        <v>270.22000000000003</v>
      </c>
      <c r="AT20" s="3">
        <v>151.1742857142857</v>
      </c>
      <c r="AU20" s="3">
        <v>2.8421052631578951</v>
      </c>
      <c r="AV20" s="3">
        <v>17.300194931773881</v>
      </c>
      <c r="AW20" s="3">
        <v>0.43957115009746589</v>
      </c>
      <c r="AX20" s="3">
        <v>0.22999999999999998</v>
      </c>
      <c r="AY20" s="3">
        <v>2.418181818181818</v>
      </c>
      <c r="AZ20" s="3">
        <v>42.836363636363636</v>
      </c>
      <c r="BA20" s="3">
        <v>2.4548387096774196</v>
      </c>
      <c r="BB20" s="3">
        <v>0.56285714285714272</v>
      </c>
    </row>
    <row r="21" spans="1:54">
      <c r="A21" s="2" t="s">
        <v>16</v>
      </c>
      <c r="B21" s="2" t="s">
        <v>92</v>
      </c>
      <c r="C21" s="3">
        <v>6.5480909090909094</v>
      </c>
      <c r="D21" s="3">
        <v>1695.4218918918918</v>
      </c>
      <c r="E21" s="3">
        <v>13.537096774193548</v>
      </c>
      <c r="F21" s="3">
        <v>19.214285714285715</v>
      </c>
      <c r="G21" s="3">
        <v>22.889547945205482</v>
      </c>
      <c r="H21" s="3">
        <v>51.846774193548391</v>
      </c>
      <c r="I21" s="3">
        <v>41.636290322580642</v>
      </c>
      <c r="J21" s="3">
        <v>4.7419354838709671</v>
      </c>
      <c r="K21" s="3">
        <v>3.786290322580645</v>
      </c>
      <c r="L21" s="3">
        <v>25.130936363636366</v>
      </c>
      <c r="M21" s="3">
        <v>712.73428571428553</v>
      </c>
      <c r="N21" s="3">
        <v>9.8134893805309726</v>
      </c>
      <c r="O21" s="3">
        <v>14.963548717948717</v>
      </c>
      <c r="P21" s="3">
        <v>40.872727272727275</v>
      </c>
      <c r="Q21" s="3">
        <v>7.4604109589041094</v>
      </c>
      <c r="R21" s="3">
        <v>1.1330788858589793</v>
      </c>
      <c r="S21" s="3">
        <v>5.5534653465346526</v>
      </c>
      <c r="T21" s="3">
        <v>56.336759164097302</v>
      </c>
      <c r="U21" s="3">
        <v>0.24370270270270272</v>
      </c>
      <c r="V21" s="3">
        <v>38.210937984496127</v>
      </c>
      <c r="W21" s="3">
        <v>47.551346607669615</v>
      </c>
      <c r="X21" s="3">
        <v>0.61363636363636365</v>
      </c>
      <c r="Y21" s="3">
        <v>5.5155945419103309</v>
      </c>
      <c r="Z21" s="3">
        <v>165.69209719516948</v>
      </c>
      <c r="AA21" s="3">
        <v>3.1383647798742138</v>
      </c>
      <c r="AB21" s="3">
        <v>0.94329501915708813</v>
      </c>
      <c r="AC21" s="3">
        <v>139.52325581395351</v>
      </c>
      <c r="AD21" s="3">
        <v>0.85263157894736841</v>
      </c>
      <c r="AE21" s="3">
        <v>1.0627906976744186</v>
      </c>
      <c r="AF21" s="3">
        <v>9.6207207207207208</v>
      </c>
      <c r="AG21" s="3">
        <v>0.13450292397660818</v>
      </c>
      <c r="AH21" s="3">
        <v>10.355750487329434</v>
      </c>
      <c r="AI21" s="3">
        <v>4.8565217391304349</v>
      </c>
      <c r="AJ21" s="3">
        <v>1080.8149999999998</v>
      </c>
      <c r="AK21" s="3">
        <v>2.75</v>
      </c>
      <c r="AL21" s="3">
        <v>7.4390909090909094</v>
      </c>
      <c r="AM21" s="3">
        <v>0.3474873393065836</v>
      </c>
      <c r="AN21" s="3">
        <v>6.1712500000000006</v>
      </c>
      <c r="AO21" s="3">
        <v>528.57899999999995</v>
      </c>
      <c r="AP21" s="3">
        <v>2.0509999999999997</v>
      </c>
      <c r="AQ21" s="3">
        <v>86.393333333333345</v>
      </c>
      <c r="AR21" s="3">
        <v>65.988571428571419</v>
      </c>
      <c r="AS21" s="3">
        <v>303.05714285714282</v>
      </c>
      <c r="AT21" s="3">
        <v>153.81428571428569</v>
      </c>
      <c r="AU21" s="3">
        <v>4.7417153996101362</v>
      </c>
      <c r="AV21" s="3">
        <v>22.066276803118907</v>
      </c>
      <c r="AW21" s="3">
        <v>0.33040935672514621</v>
      </c>
      <c r="AX21" s="3">
        <v>0.75545454545454538</v>
      </c>
      <c r="AY21" s="3">
        <v>8.9</v>
      </c>
      <c r="AZ21" s="3">
        <v>71.333636363636359</v>
      </c>
      <c r="BA21" s="3">
        <v>2.279569892473118</v>
      </c>
      <c r="BB21" s="3">
        <v>0.91714285714285693</v>
      </c>
    </row>
    <row r="22" spans="1:54">
      <c r="A22" s="2" t="s">
        <v>17</v>
      </c>
      <c r="B22" s="2" t="s">
        <v>92</v>
      </c>
      <c r="C22" s="3">
        <v>1.2503636363636366</v>
      </c>
      <c r="D22" s="3">
        <v>1892.2543243243244</v>
      </c>
      <c r="E22" s="3">
        <v>1.1661290322580646</v>
      </c>
      <c r="F22" s="3">
        <v>13.082142857142857</v>
      </c>
      <c r="G22" s="3">
        <v>24.74160273972603</v>
      </c>
      <c r="H22" s="3">
        <v>38.494354838709675</v>
      </c>
      <c r="I22" s="3">
        <v>3.5225806451612907</v>
      </c>
      <c r="J22" s="3">
        <v>6.1596774193548391</v>
      </c>
      <c r="K22" s="3">
        <v>3.2008064516129031</v>
      </c>
      <c r="L22" s="3">
        <v>17.711455844155847</v>
      </c>
      <c r="M22" s="3">
        <v>853.33428571428556</v>
      </c>
      <c r="N22" s="3">
        <v>14.663046902654866</v>
      </c>
      <c r="O22" s="3">
        <v>12.852010256410255</v>
      </c>
      <c r="P22" s="3">
        <v>39.772727272727273</v>
      </c>
      <c r="Q22" s="3">
        <v>5.0275342465753425</v>
      </c>
      <c r="R22" s="3">
        <v>0.87441118036618626</v>
      </c>
      <c r="S22" s="3">
        <v>5.5415841584158407</v>
      </c>
      <c r="T22" s="3">
        <v>6.3278520041109969</v>
      </c>
      <c r="U22" s="3">
        <v>0.20370270270270269</v>
      </c>
      <c r="V22" s="3">
        <v>29.089490956072353</v>
      </c>
      <c r="W22" s="3">
        <v>35.564620943952804</v>
      </c>
      <c r="X22" s="3">
        <v>0.45000000000000007</v>
      </c>
      <c r="Y22" s="3">
        <v>5.8957115009746586</v>
      </c>
      <c r="Z22" s="3">
        <v>116.28305940786912</v>
      </c>
      <c r="AA22" s="3">
        <v>2.4339622641509431</v>
      </c>
      <c r="AB22" s="3">
        <v>0.63639846743295014</v>
      </c>
      <c r="AC22" s="3">
        <v>134.63023255813957</v>
      </c>
      <c r="AD22" s="3">
        <v>0.32631578947368423</v>
      </c>
      <c r="AE22" s="3">
        <v>0.55232558139534893</v>
      </c>
      <c r="AF22" s="3">
        <v>8.5522522522522522</v>
      </c>
      <c r="AG22" s="3">
        <v>9.7465886939571159E-2</v>
      </c>
      <c r="AH22" s="3">
        <v>8.5146198830409361</v>
      </c>
      <c r="AI22" s="3">
        <v>5.8826086956521744</v>
      </c>
      <c r="AJ22" s="3">
        <v>1028.7275</v>
      </c>
      <c r="AK22" s="3">
        <v>2.2009090909090911</v>
      </c>
      <c r="AL22" s="3">
        <v>7.2854545454545452</v>
      </c>
      <c r="AM22" s="3">
        <v>0.14491624464355279</v>
      </c>
      <c r="AN22" s="3">
        <v>5.53125</v>
      </c>
      <c r="AO22" s="3">
        <v>429.08699999999999</v>
      </c>
      <c r="AP22" s="3">
        <v>1.502</v>
      </c>
      <c r="AQ22" s="3">
        <v>203.89333333333332</v>
      </c>
      <c r="AR22" s="3">
        <v>107.01999999999998</v>
      </c>
      <c r="AS22" s="3">
        <v>273.2828571428571</v>
      </c>
      <c r="AT22" s="3">
        <v>172.65714285714284</v>
      </c>
      <c r="AU22" s="3">
        <v>5.5935672514619883</v>
      </c>
      <c r="AV22" s="3">
        <v>23.884015594541911</v>
      </c>
      <c r="AW22" s="3">
        <v>0.30311890838206629</v>
      </c>
      <c r="AX22" s="3">
        <v>0.46454545454545454</v>
      </c>
      <c r="AY22" s="3">
        <v>2.3909090909090911</v>
      </c>
      <c r="AZ22" s="3">
        <v>27.650000000000002</v>
      </c>
      <c r="BA22" s="3">
        <v>2.6387096774193548</v>
      </c>
      <c r="BB22" s="3">
        <v>0.49428571428571422</v>
      </c>
    </row>
    <row r="23" spans="1:54">
      <c r="A23" s="2" t="s">
        <v>18</v>
      </c>
      <c r="B23" s="2" t="s">
        <v>93</v>
      </c>
      <c r="C23" s="3">
        <v>30.039000000000001</v>
      </c>
      <c r="D23" s="3">
        <v>1992.3245945945944</v>
      </c>
      <c r="E23" s="3">
        <v>1.6435483870967742</v>
      </c>
      <c r="F23" s="3">
        <v>8.8285714285714292</v>
      </c>
      <c r="G23" s="3">
        <v>20.605986301369864</v>
      </c>
      <c r="H23" s="3">
        <v>59.099193548387092</v>
      </c>
      <c r="I23" s="3">
        <v>7.7346774193548384</v>
      </c>
      <c r="J23" s="3">
        <v>5.0790322580645162</v>
      </c>
      <c r="K23" s="3">
        <v>4.4564516129032254</v>
      </c>
      <c r="L23" s="3">
        <v>13.634832467532467</v>
      </c>
      <c r="M23" s="3">
        <v>948.20571428571407</v>
      </c>
      <c r="N23" s="3">
        <v>5.9046398230088499</v>
      </c>
      <c r="O23" s="3">
        <v>10.285343589743588</v>
      </c>
      <c r="P23" s="3">
        <v>31.218181818181819</v>
      </c>
      <c r="Q23" s="3">
        <v>4.1617808219178078</v>
      </c>
      <c r="R23" s="3">
        <v>0.40771854304635763</v>
      </c>
      <c r="S23" s="3">
        <v>4.4623762376237623</v>
      </c>
      <c r="T23" s="3">
        <v>18.657759506680371</v>
      </c>
      <c r="U23" s="3">
        <v>0.253972972972973</v>
      </c>
      <c r="V23" s="3">
        <v>34.531351421188631</v>
      </c>
      <c r="W23" s="3">
        <v>20.147216814159293</v>
      </c>
      <c r="X23" s="3">
        <v>1.1090909090909091</v>
      </c>
      <c r="Y23" s="3">
        <v>3.024366471734893</v>
      </c>
      <c r="Z23" s="3">
        <v>127.13697448383327</v>
      </c>
      <c r="AA23" s="3">
        <v>2.6603773584905657</v>
      </c>
      <c r="AB23" s="3">
        <v>0.2160919540229885</v>
      </c>
      <c r="AC23" s="3">
        <v>59.946511627906986</v>
      </c>
      <c r="AD23" s="3">
        <v>0.46315789473684216</v>
      </c>
      <c r="AE23" s="3">
        <v>0.54651162790697683</v>
      </c>
      <c r="AF23" s="3">
        <v>8.0513513513513519</v>
      </c>
      <c r="AG23" s="3">
        <v>4.6783625730994149E-2</v>
      </c>
      <c r="AH23" s="3">
        <v>2.6715399610136452</v>
      </c>
      <c r="AI23" s="3">
        <v>3.6434782608695651</v>
      </c>
      <c r="AJ23" s="3">
        <v>596.49</v>
      </c>
      <c r="AK23" s="3">
        <v>0.68636363636363629</v>
      </c>
      <c r="AL23" s="3">
        <v>1.1945454545454544</v>
      </c>
      <c r="AM23" s="3">
        <v>0.12738605375925205</v>
      </c>
      <c r="AN23" s="3">
        <v>4.6168750000000003</v>
      </c>
      <c r="AO23" s="3">
        <v>210.578</v>
      </c>
      <c r="AP23" s="3">
        <v>2.1999999999999997</v>
      </c>
      <c r="AQ23" s="3">
        <v>108.86666666666667</v>
      </c>
      <c r="AR23" s="3">
        <v>73.285714285714278</v>
      </c>
      <c r="AS23" s="3">
        <v>372.28857142857134</v>
      </c>
      <c r="AT23" s="3">
        <v>180.87714285714284</v>
      </c>
      <c r="AU23" s="3">
        <v>2.4083820662768032</v>
      </c>
      <c r="AV23" s="3">
        <v>16.76608187134503</v>
      </c>
      <c r="AW23" s="3">
        <v>0.29142300194931775</v>
      </c>
      <c r="AX23" s="3">
        <v>0.26</v>
      </c>
      <c r="AY23" s="3">
        <v>1.1272727272727272</v>
      </c>
      <c r="AZ23" s="3">
        <v>23.244545454545456</v>
      </c>
      <c r="BA23" s="3">
        <v>1.689247311827957</v>
      </c>
      <c r="BB23" s="3">
        <v>0.2857142857142857</v>
      </c>
    </row>
    <row r="24" spans="1:54">
      <c r="A24" s="2" t="s">
        <v>19</v>
      </c>
      <c r="B24" s="2" t="s">
        <v>94</v>
      </c>
      <c r="C24" s="3">
        <v>442.03900000000004</v>
      </c>
      <c r="D24" s="3">
        <v>2640.8624324324323</v>
      </c>
      <c r="E24" s="3">
        <v>3.1330645161290325</v>
      </c>
      <c r="F24" s="3">
        <v>14.971428571428572</v>
      </c>
      <c r="G24" s="3">
        <v>43.719684931506855</v>
      </c>
      <c r="H24" s="3">
        <v>134.6483870967742</v>
      </c>
      <c r="I24" s="3">
        <v>112.92338709677419</v>
      </c>
      <c r="J24" s="3">
        <v>21.236290322580647</v>
      </c>
      <c r="K24" s="3">
        <v>6.6427419354838708</v>
      </c>
      <c r="L24" s="3">
        <v>19.630936363636366</v>
      </c>
      <c r="M24" s="3">
        <v>1174.757142857143</v>
      </c>
      <c r="N24" s="3">
        <v>25.595790265486723</v>
      </c>
      <c r="O24" s="3">
        <v>12.64688205128205</v>
      </c>
      <c r="P24" s="3">
        <v>53.518181818181823</v>
      </c>
      <c r="Q24" s="3">
        <v>5.37</v>
      </c>
      <c r="R24" s="3">
        <v>0.9803714452668485</v>
      </c>
      <c r="S24" s="3">
        <v>7.7445544554455443</v>
      </c>
      <c r="T24" s="3">
        <v>21.241863651935596</v>
      </c>
      <c r="U24" s="3">
        <v>0.27181081081081082</v>
      </c>
      <c r="V24" s="3">
        <v>53.192850129198973</v>
      </c>
      <c r="W24" s="3">
        <v>35.897954277286139</v>
      </c>
      <c r="X24" s="3">
        <v>0.97272727272727277</v>
      </c>
      <c r="Y24" s="3">
        <v>16.647173489278753</v>
      </c>
      <c r="Z24" s="3">
        <v>109.15528379431244</v>
      </c>
      <c r="AA24" s="3">
        <v>2.3333333333333335</v>
      </c>
      <c r="AB24" s="3">
        <v>0.28697318007662831</v>
      </c>
      <c r="AC24" s="3">
        <v>651.32441860465121</v>
      </c>
      <c r="AD24" s="3">
        <v>1.2210526315789474</v>
      </c>
      <c r="AE24" s="3">
        <v>0.40116279069767447</v>
      </c>
      <c r="AF24" s="3">
        <v>8.9801801801801808</v>
      </c>
      <c r="AG24" s="3">
        <v>9.5516569200779722E-2</v>
      </c>
      <c r="AH24" s="3">
        <v>31.049707602339183</v>
      </c>
      <c r="AI24" s="3">
        <v>9.1478260869565222</v>
      </c>
      <c r="AJ24" s="3">
        <v>714.09</v>
      </c>
      <c r="AK24" s="3">
        <v>8.9400000000000013</v>
      </c>
      <c r="AL24" s="3">
        <v>53.158181818181824</v>
      </c>
      <c r="AM24" s="3">
        <v>6.3887806778340481E-2</v>
      </c>
      <c r="AN24" s="3">
        <v>2.973125</v>
      </c>
      <c r="AO24" s="3">
        <v>854.40599999999995</v>
      </c>
      <c r="AP24" s="3">
        <v>1.448</v>
      </c>
      <c r="AQ24" s="3">
        <v>125.2</v>
      </c>
      <c r="AR24" s="3">
        <v>68.102857142857133</v>
      </c>
      <c r="AS24" s="3">
        <v>338.07428571428568</v>
      </c>
      <c r="AT24" s="3">
        <v>200.59999999999997</v>
      </c>
      <c r="AU24" s="3">
        <v>24.375243664717352</v>
      </c>
      <c r="AV24" s="3">
        <v>70.599415204678365</v>
      </c>
      <c r="AW24" s="3">
        <v>0.34697855750487328</v>
      </c>
      <c r="AX24" s="3">
        <v>0.73545454545454547</v>
      </c>
      <c r="AY24" s="3">
        <v>8.245454545454546</v>
      </c>
      <c r="AZ24" s="3">
        <v>41.117272727272727</v>
      </c>
      <c r="BA24" s="3">
        <v>2.1290322580645165</v>
      </c>
      <c r="BB24" s="3">
        <v>1.2171428571428571</v>
      </c>
    </row>
    <row r="25" spans="1:54">
      <c r="A25" s="2" t="s">
        <v>20</v>
      </c>
      <c r="B25" s="2" t="s">
        <v>98</v>
      </c>
      <c r="C25" s="3">
        <v>84.75036363636363</v>
      </c>
      <c r="D25" s="3">
        <v>2175.5462162162162</v>
      </c>
      <c r="E25" s="3">
        <v>1.1250000000000002</v>
      </c>
      <c r="F25" s="3">
        <v>9.8071428571428569</v>
      </c>
      <c r="G25" s="3">
        <v>20.133383561643839</v>
      </c>
      <c r="H25" s="3">
        <v>36.370161290322578</v>
      </c>
      <c r="I25" s="3">
        <v>3.8088709677419357</v>
      </c>
      <c r="J25" s="3">
        <v>5.5395161290322577</v>
      </c>
      <c r="K25" s="3">
        <v>3.5701612903225803</v>
      </c>
      <c r="L25" s="3">
        <v>11.55820909090909</v>
      </c>
      <c r="M25" s="3">
        <v>676.83857142857141</v>
      </c>
      <c r="N25" s="3">
        <v>10.565701769911502</v>
      </c>
      <c r="O25" s="3">
        <v>8.2968820512820507</v>
      </c>
      <c r="P25" s="3">
        <v>36.954545454545453</v>
      </c>
      <c r="Q25" s="3">
        <v>2.8823287671232882</v>
      </c>
      <c r="R25" s="3">
        <v>0.35084281262173744</v>
      </c>
      <c r="S25" s="3">
        <v>5.5019801980198011</v>
      </c>
      <c r="T25" s="3">
        <v>7.2195957519698535</v>
      </c>
      <c r="U25" s="3">
        <v>0.25072972972972973</v>
      </c>
      <c r="V25" s="3">
        <v>28.647630490956072</v>
      </c>
      <c r="W25" s="3">
        <v>22.434827433628318</v>
      </c>
      <c r="X25" s="3">
        <v>0.64090909090909098</v>
      </c>
      <c r="Y25" s="3">
        <v>5.0243664717348926</v>
      </c>
      <c r="Z25" s="3">
        <v>102.90635508375537</v>
      </c>
      <c r="AA25" s="3">
        <v>2.0817610062893079</v>
      </c>
      <c r="AB25" s="3">
        <v>0.20153256704980843</v>
      </c>
      <c r="AC25" s="3">
        <v>93.782558139534899</v>
      </c>
      <c r="AD25" s="3">
        <v>0.37368421052631584</v>
      </c>
      <c r="AE25" s="3">
        <v>1.0767441860465117</v>
      </c>
      <c r="AF25" s="3">
        <v>7.8513513513513518</v>
      </c>
      <c r="AG25" s="3">
        <v>7.2124756335282661E-2</v>
      </c>
      <c r="AH25" s="3">
        <v>4.3888888888888884</v>
      </c>
      <c r="AI25" s="3">
        <v>4.839130434782609</v>
      </c>
      <c r="AJ25" s="3">
        <v>889.495</v>
      </c>
      <c r="AK25" s="3">
        <v>1.3427272727272728</v>
      </c>
      <c r="AL25" s="3">
        <v>4.000909090909091</v>
      </c>
      <c r="AM25" s="3">
        <v>0.16283599532528242</v>
      </c>
      <c r="AN25" s="3">
        <v>6.15</v>
      </c>
      <c r="AO25" s="3">
        <v>219.233</v>
      </c>
      <c r="AP25" s="3">
        <v>1.3739999999999999</v>
      </c>
      <c r="AQ25" s="3">
        <v>199.44</v>
      </c>
      <c r="AR25" s="3">
        <v>102.39714285714284</v>
      </c>
      <c r="AS25" s="3">
        <v>396.2285714285714</v>
      </c>
      <c r="AT25" s="3">
        <v>214.7</v>
      </c>
      <c r="AU25" s="3">
        <v>4.1978557504873297</v>
      </c>
      <c r="AV25" s="3">
        <v>27.934697855750485</v>
      </c>
      <c r="AW25" s="3">
        <v>0.29434697855750491</v>
      </c>
      <c r="AX25" s="3">
        <v>0.41363636363636364</v>
      </c>
      <c r="AY25" s="3">
        <v>1.8545454545454547</v>
      </c>
      <c r="AZ25" s="3">
        <v>34.695454545454545</v>
      </c>
      <c r="BA25" s="3">
        <v>1.3569892473118281</v>
      </c>
      <c r="BB25" s="3">
        <v>1.1228571428571428</v>
      </c>
    </row>
    <row r="26" spans="1:54">
      <c r="A26" s="2" t="s">
        <v>21</v>
      </c>
      <c r="B26" s="2" t="s">
        <v>100</v>
      </c>
      <c r="C26" s="3">
        <v>172.77309090909091</v>
      </c>
      <c r="D26" s="3">
        <v>1924.7083783783785</v>
      </c>
      <c r="E26" s="3">
        <v>0.48870967741935484</v>
      </c>
      <c r="F26" s="3">
        <v>5.6178571428571429</v>
      </c>
      <c r="G26" s="3">
        <v>39.629273972602746</v>
      </c>
      <c r="H26" s="3">
        <v>90.651612903225811</v>
      </c>
      <c r="I26" s="3">
        <v>4.1153225806451612</v>
      </c>
      <c r="J26" s="3">
        <v>4.8193548387096774</v>
      </c>
      <c r="K26" s="3">
        <v>4.3225806451612909</v>
      </c>
      <c r="L26" s="3">
        <v>23.176390909090909</v>
      </c>
      <c r="M26" s="3">
        <v>709.34571428571417</v>
      </c>
      <c r="N26" s="3">
        <v>6.1665867256637164</v>
      </c>
      <c r="O26" s="3">
        <v>17.51483076923077</v>
      </c>
      <c r="P26" s="3">
        <v>21.327272727272728</v>
      </c>
      <c r="Q26" s="3">
        <v>6.9179452054794517</v>
      </c>
      <c r="R26" s="3">
        <v>1.4318712504869497</v>
      </c>
      <c r="S26" s="3">
        <v>4.4257425742574252</v>
      </c>
      <c r="T26" s="3">
        <v>9.5700582391229876</v>
      </c>
      <c r="U26" s="3">
        <v>0.19235135135135137</v>
      </c>
      <c r="V26" s="3">
        <v>47.459000000000003</v>
      </c>
      <c r="W26" s="3">
        <v>37.970225663716811</v>
      </c>
      <c r="X26" s="3">
        <v>1.5772727272727274</v>
      </c>
      <c r="Y26" s="3">
        <v>2.7748538011695909</v>
      </c>
      <c r="Z26" s="3">
        <v>110.94141546552397</v>
      </c>
      <c r="AA26" s="3">
        <v>1.7798742138364778</v>
      </c>
      <c r="AB26" s="3">
        <v>0.17854406130268199</v>
      </c>
      <c r="AC26" s="3">
        <v>70.596511627906978</v>
      </c>
      <c r="AD26" s="3">
        <v>2.668421052631579</v>
      </c>
      <c r="AE26" s="3">
        <v>0.82906976744186056</v>
      </c>
      <c r="AF26" s="3">
        <v>9.564864864864866</v>
      </c>
      <c r="AG26" s="3">
        <v>5.9454191033138405E-2</v>
      </c>
      <c r="AH26" s="3">
        <v>2.5292397660818713</v>
      </c>
      <c r="AI26" s="3">
        <v>6.4739130434782615</v>
      </c>
      <c r="AJ26" s="3">
        <v>708.8125</v>
      </c>
      <c r="AK26" s="3">
        <v>0.58272727272727276</v>
      </c>
      <c r="AL26" s="3">
        <v>0.92272727272727284</v>
      </c>
      <c r="AM26" s="3">
        <v>0.29801324503311261</v>
      </c>
      <c r="AN26" s="3">
        <v>4.2425000000000006</v>
      </c>
      <c r="AO26" s="3">
        <v>206.17799999999997</v>
      </c>
      <c r="AP26" s="3">
        <v>1.34</v>
      </c>
      <c r="AQ26" s="3">
        <v>99.61333333333333</v>
      </c>
      <c r="AR26" s="3">
        <v>85.702857142857141</v>
      </c>
      <c r="AS26" s="3">
        <v>228.00285714285712</v>
      </c>
      <c r="AT26" s="3">
        <v>147.48857142857142</v>
      </c>
      <c r="AU26" s="3">
        <v>1.9502923976608189</v>
      </c>
      <c r="AV26" s="3">
        <v>12.456140350877194</v>
      </c>
      <c r="AW26" s="3">
        <v>0.35087719298245612</v>
      </c>
      <c r="AX26" s="3">
        <v>0.12636363636363634</v>
      </c>
      <c r="AY26" s="3">
        <v>1.3</v>
      </c>
      <c r="AZ26" s="3">
        <v>22.6</v>
      </c>
      <c r="BA26" s="3">
        <v>0.93548387096774188</v>
      </c>
      <c r="BB26" s="3">
        <v>0.27999999999999997</v>
      </c>
    </row>
    <row r="27" spans="1:54">
      <c r="A27" s="2" t="s">
        <v>22</v>
      </c>
      <c r="B27" s="2" t="s">
        <v>100</v>
      </c>
      <c r="C27" s="3">
        <v>109.68900000000001</v>
      </c>
      <c r="D27" s="3">
        <v>2316.0867567567566</v>
      </c>
      <c r="E27" s="3">
        <v>3.6330645161290325</v>
      </c>
      <c r="F27" s="3">
        <v>9.9821428571428577</v>
      </c>
      <c r="G27" s="3">
        <v>23.036123287671234</v>
      </c>
      <c r="H27" s="3">
        <v>28.29435483870968</v>
      </c>
      <c r="I27" s="3">
        <v>7.8879032258064514</v>
      </c>
      <c r="J27" s="3">
        <v>6.1072580645161292</v>
      </c>
      <c r="K27" s="3">
        <v>4.0758064516129027</v>
      </c>
      <c r="L27" s="3">
        <v>14.673793506493508</v>
      </c>
      <c r="M27" s="3">
        <v>898.5114285714285</v>
      </c>
      <c r="N27" s="3">
        <v>7.2187991150442476</v>
      </c>
      <c r="O27" s="3">
        <v>9.7686769230769226</v>
      </c>
      <c r="P27" s="3">
        <v>33.881818181818183</v>
      </c>
      <c r="Q27" s="3">
        <v>4.3289041095890406</v>
      </c>
      <c r="R27" s="3">
        <v>0.47744974678613167</v>
      </c>
      <c r="S27" s="3">
        <v>5.9257425742574261</v>
      </c>
      <c r="T27" s="3">
        <v>11.316204179513532</v>
      </c>
      <c r="U27" s="3">
        <v>0.2593783783783784</v>
      </c>
      <c r="V27" s="3">
        <v>42.94091214470285</v>
      </c>
      <c r="W27" s="3">
        <v>20.762261061946901</v>
      </c>
      <c r="X27" s="3">
        <v>0.8318181818181819</v>
      </c>
      <c r="Y27" s="3">
        <v>5.0789473684210531</v>
      </c>
      <c r="Z27" s="3">
        <v>215.29085060381772</v>
      </c>
      <c r="AA27" s="3">
        <v>2.9245283018867925</v>
      </c>
      <c r="AB27" s="3">
        <v>0.35823754789272028</v>
      </c>
      <c r="AC27" s="3">
        <v>95.867441860465121</v>
      </c>
      <c r="AD27" s="3">
        <v>1.4263157894736842</v>
      </c>
      <c r="AE27" s="3">
        <v>0.95465116279069784</v>
      </c>
      <c r="AF27" s="3">
        <v>10.025225225225226</v>
      </c>
      <c r="AG27" s="3">
        <v>0.10428849902534112</v>
      </c>
      <c r="AH27" s="3">
        <v>5.7524366471734893</v>
      </c>
      <c r="AI27" s="3">
        <v>5.0391304347826091</v>
      </c>
      <c r="AJ27" s="3">
        <v>1191.9875</v>
      </c>
      <c r="AK27" s="3">
        <v>1.48</v>
      </c>
      <c r="AL27" s="3">
        <v>3.4654545454545453</v>
      </c>
      <c r="AM27" s="3">
        <v>0.38293728087261397</v>
      </c>
      <c r="AN27" s="3">
        <v>4.2062499999999998</v>
      </c>
      <c r="AO27" s="3">
        <v>441.62599999999998</v>
      </c>
      <c r="AP27" s="3">
        <v>1.5559999999999998</v>
      </c>
      <c r="AQ27" s="3">
        <v>169.29333333333335</v>
      </c>
      <c r="AR27" s="3">
        <v>68.185714285714269</v>
      </c>
      <c r="AS27" s="3">
        <v>377.1742857142857</v>
      </c>
      <c r="AT27" s="3">
        <v>231.88285714285712</v>
      </c>
      <c r="AU27" s="3">
        <v>4.4424951267056532</v>
      </c>
      <c r="AV27" s="3">
        <v>31.054580896686161</v>
      </c>
      <c r="AW27" s="3">
        <v>0.31773879142300193</v>
      </c>
      <c r="AX27" s="3">
        <v>0.27545454545454545</v>
      </c>
      <c r="AY27" s="3">
        <v>1.7363636363636363</v>
      </c>
      <c r="AZ27" s="3">
        <v>20.34272727272727</v>
      </c>
      <c r="BA27" s="3">
        <v>2.1677419354838712</v>
      </c>
      <c r="BB27" s="3">
        <v>0.32857142857142851</v>
      </c>
    </row>
    <row r="28" spans="1:54">
      <c r="A28" s="2" t="s">
        <v>23</v>
      </c>
      <c r="B28" s="2" t="s">
        <v>100</v>
      </c>
      <c r="C28" s="3">
        <v>87.900363636363636</v>
      </c>
      <c r="D28" s="3">
        <v>1988.5408108108111</v>
      </c>
      <c r="E28" s="3">
        <v>1.55</v>
      </c>
      <c r="F28" s="3">
        <v>12.071428571428571</v>
      </c>
      <c r="G28" s="3">
        <v>13.637493150684932</v>
      </c>
      <c r="H28" s="3">
        <v>60.175000000000004</v>
      </c>
      <c r="I28" s="3">
        <v>8.129032258064516</v>
      </c>
      <c r="J28" s="3">
        <v>6.2282258064516132</v>
      </c>
      <c r="K28" s="3">
        <v>4.2661290322580649</v>
      </c>
      <c r="L28" s="3">
        <v>14.782884415584416</v>
      </c>
      <c r="M28" s="3">
        <v>925.88285714285712</v>
      </c>
      <c r="N28" s="3">
        <v>13.432073451327433</v>
      </c>
      <c r="O28" s="3">
        <v>9.5084205128205124</v>
      </c>
      <c r="P28" s="3">
        <v>29.054545454545455</v>
      </c>
      <c r="Q28" s="3">
        <v>4.0809589041095888</v>
      </c>
      <c r="R28" s="3">
        <v>0.48329314374756527</v>
      </c>
      <c r="S28" s="3">
        <v>5.0267326732673272</v>
      </c>
      <c r="T28" s="3">
        <v>13.052072627612196</v>
      </c>
      <c r="U28" s="3">
        <v>0.24856756756756757</v>
      </c>
      <c r="V28" s="3">
        <v>28.633418604651162</v>
      </c>
      <c r="W28" s="3">
        <v>21.92745280235988</v>
      </c>
      <c r="X28" s="3">
        <v>1.0227272727272727</v>
      </c>
      <c r="Y28" s="3">
        <v>3.1130604288499026</v>
      </c>
      <c r="Z28" s="3">
        <v>116.69170763537204</v>
      </c>
      <c r="AA28" s="3">
        <v>2.6037735849056602</v>
      </c>
      <c r="AB28" s="3">
        <v>0.22298850574712645</v>
      </c>
      <c r="AC28" s="3">
        <v>85.215116279069775</v>
      </c>
      <c r="AD28" s="3">
        <v>1.0947368421052632</v>
      </c>
      <c r="AE28" s="3">
        <v>0.69069767441860475</v>
      </c>
      <c r="AF28" s="3">
        <v>5.7675675675675677</v>
      </c>
      <c r="AG28" s="3">
        <v>6.4327485380116955E-2</v>
      </c>
      <c r="AH28" s="3">
        <v>3.41130604288499</v>
      </c>
      <c r="AI28" s="3">
        <v>5.6652173913043482</v>
      </c>
      <c r="AJ28" s="3">
        <v>539.25749999999994</v>
      </c>
      <c r="AK28" s="3">
        <v>1.1854545454545453</v>
      </c>
      <c r="AL28" s="3">
        <v>3.73</v>
      </c>
      <c r="AM28" s="3">
        <v>0.19516945851188158</v>
      </c>
      <c r="AN28" s="3">
        <v>4.6400000000000006</v>
      </c>
      <c r="AO28" s="3">
        <v>301.19799999999998</v>
      </c>
      <c r="AP28" s="3">
        <v>0.98099999999999998</v>
      </c>
      <c r="AQ28" s="3">
        <v>95.826666666666668</v>
      </c>
      <c r="AR28" s="3">
        <v>75.202857142857127</v>
      </c>
      <c r="AS28" s="3">
        <v>325.01428571428568</v>
      </c>
      <c r="AT28" s="3">
        <v>196.69428571428568</v>
      </c>
      <c r="AU28" s="3">
        <v>2.7436647173489277</v>
      </c>
      <c r="AV28" s="3">
        <v>15.298245614035089</v>
      </c>
      <c r="AW28" s="3">
        <v>0.36062378167641324</v>
      </c>
      <c r="AX28" s="3">
        <v>0.24909090909090909</v>
      </c>
      <c r="AY28" s="3">
        <v>1.3818181818181818</v>
      </c>
      <c r="AZ28" s="3">
        <v>22.024545454545454</v>
      </c>
      <c r="BA28" s="3">
        <v>1.2870967741935484</v>
      </c>
      <c r="BB28" s="3">
        <v>0.25142857142857145</v>
      </c>
    </row>
    <row r="29" spans="1:54">
      <c r="A29" s="2" t="s">
        <v>24</v>
      </c>
      <c r="B29" s="2" t="s">
        <v>100</v>
      </c>
      <c r="C29" s="3">
        <v>53.323090909090908</v>
      </c>
      <c r="D29" s="3">
        <v>2316.8137837837839</v>
      </c>
      <c r="E29" s="3">
        <v>1.264516129032258</v>
      </c>
      <c r="F29" s="3">
        <v>12.171428571428571</v>
      </c>
      <c r="G29" s="3">
        <v>27.838863013698631</v>
      </c>
      <c r="H29" s="3">
        <v>50.21290322580645</v>
      </c>
      <c r="I29" s="3">
        <v>4.5233870967741936</v>
      </c>
      <c r="J29" s="3">
        <v>4.7685483870967742</v>
      </c>
      <c r="K29" s="3">
        <v>3.5685483870967745</v>
      </c>
      <c r="L29" s="3">
        <v>13.102364935064935</v>
      </c>
      <c r="M29" s="3">
        <v>814.45142857142844</v>
      </c>
      <c r="N29" s="3">
        <v>9.1789761061946891</v>
      </c>
      <c r="O29" s="3">
        <v>9.5225230769230755</v>
      </c>
      <c r="P29" s="3">
        <v>32.890909090909091</v>
      </c>
      <c r="Q29" s="3">
        <v>4.119315068493151</v>
      </c>
      <c r="R29" s="3">
        <v>0.88298149590962227</v>
      </c>
      <c r="S29" s="3">
        <v>5.5554455445544555</v>
      </c>
      <c r="T29" s="3">
        <v>16.239465570400824</v>
      </c>
      <c r="U29" s="3">
        <v>0.22586486486486484</v>
      </c>
      <c r="V29" s="3">
        <v>30.334968992248065</v>
      </c>
      <c r="W29" s="3">
        <v>24.175240412979353</v>
      </c>
      <c r="X29" s="3">
        <v>0.65454545454545454</v>
      </c>
      <c r="Y29" s="3">
        <v>4.5029239766081872</v>
      </c>
      <c r="Z29" s="3">
        <v>157.44161024542268</v>
      </c>
      <c r="AA29" s="3">
        <v>2.6100628930817611</v>
      </c>
      <c r="AB29" s="3">
        <v>0.27777777777777773</v>
      </c>
      <c r="AC29" s="3">
        <v>104.45348837209303</v>
      </c>
      <c r="AD29" s="3">
        <v>0.91578947368421049</v>
      </c>
      <c r="AE29" s="3">
        <v>0.43488372093023264</v>
      </c>
      <c r="AF29" s="3">
        <v>7.7333333333333334</v>
      </c>
      <c r="AG29" s="3">
        <v>0.10136452241715399</v>
      </c>
      <c r="AH29" s="3">
        <v>5.586744639376219</v>
      </c>
      <c r="AI29" s="3">
        <v>6.1913043478260867</v>
      </c>
      <c r="AJ29" s="3">
        <v>895.63249999999994</v>
      </c>
      <c r="AK29" s="3">
        <v>1.2009090909090909</v>
      </c>
      <c r="AL29" s="3">
        <v>2.1790909090909092</v>
      </c>
      <c r="AM29" s="3">
        <v>0.33657966497857428</v>
      </c>
      <c r="AN29" s="3">
        <v>4.6568750000000003</v>
      </c>
      <c r="AO29" s="3">
        <v>521.74999999999989</v>
      </c>
      <c r="AP29" s="3">
        <v>1.4769999999999999</v>
      </c>
      <c r="AQ29" s="3">
        <v>133.21333333333334</v>
      </c>
      <c r="AR29" s="3">
        <v>100.25714285714284</v>
      </c>
      <c r="AS29" s="3">
        <v>324.90571428571428</v>
      </c>
      <c r="AT29" s="3">
        <v>184.51142857142855</v>
      </c>
      <c r="AU29" s="3">
        <v>3.8040935672514617</v>
      </c>
      <c r="AV29" s="3">
        <v>17.758284600389864</v>
      </c>
      <c r="AW29" s="3">
        <v>0.33723196881091616</v>
      </c>
      <c r="AX29" s="3">
        <v>0.24545454545454545</v>
      </c>
      <c r="AY29" s="3">
        <v>1.5727272727272728</v>
      </c>
      <c r="AZ29" s="3">
        <v>25.86090909090909</v>
      </c>
      <c r="BA29" s="3">
        <v>2.6806451612903226</v>
      </c>
      <c r="BB29" s="3">
        <v>0.32571428571428568</v>
      </c>
    </row>
    <row r="30" spans="1:54">
      <c r="A30" s="2" t="s">
        <v>25</v>
      </c>
      <c r="B30" s="2" t="s">
        <v>101</v>
      </c>
      <c r="C30" s="3">
        <v>0.76854545454545464</v>
      </c>
      <c r="D30" s="3">
        <v>1565.111081081081</v>
      </c>
      <c r="E30" s="3">
        <v>0.40725806451612906</v>
      </c>
      <c r="F30" s="3">
        <v>14.375</v>
      </c>
      <c r="G30" s="3">
        <v>32.384068493150686</v>
      </c>
      <c r="H30" s="3">
        <v>2.1266129032258063</v>
      </c>
      <c r="I30" s="3">
        <v>1.292741935483871</v>
      </c>
      <c r="J30" s="3">
        <v>0.49838709677419357</v>
      </c>
      <c r="K30" s="3">
        <v>2.1653225806451615</v>
      </c>
      <c r="L30" s="3">
        <v>2.7062610389610389</v>
      </c>
      <c r="M30" s="3">
        <v>1322.4157142857143</v>
      </c>
      <c r="N30" s="3">
        <v>19.430303539823008</v>
      </c>
      <c r="O30" s="3">
        <v>1.4968820512820513</v>
      </c>
      <c r="P30" s="3">
        <v>42.13636363636364</v>
      </c>
      <c r="Q30" s="3">
        <v>0.54945205479452053</v>
      </c>
      <c r="R30" s="3">
        <v>0.2857863264511103</v>
      </c>
      <c r="S30" s="3">
        <v>6.6316831683168305</v>
      </c>
      <c r="T30" s="3">
        <v>5.5224391915039401</v>
      </c>
      <c r="U30" s="3">
        <v>0.34424324324324324</v>
      </c>
      <c r="V30" s="3">
        <v>35.792333333333339</v>
      </c>
      <c r="W30" s="3">
        <v>38.476125368731559</v>
      </c>
      <c r="X30" s="3">
        <v>0.29090909090909095</v>
      </c>
      <c r="Y30" s="3">
        <v>5.5448343079922022</v>
      </c>
      <c r="Z30" s="3">
        <v>89.107367939228681</v>
      </c>
      <c r="AA30" s="3">
        <v>2.10062893081761</v>
      </c>
      <c r="AB30" s="3">
        <v>0.14444444444444443</v>
      </c>
      <c r="AC30" s="3">
        <v>84.982558139534902</v>
      </c>
      <c r="AD30" s="3">
        <v>0.52105263157894743</v>
      </c>
      <c r="AE30" s="3">
        <v>0.6465116279069768</v>
      </c>
      <c r="AF30" s="3">
        <v>12.50990990990991</v>
      </c>
      <c r="AG30" s="3">
        <v>6.3352826510721244E-2</v>
      </c>
      <c r="AH30" s="3">
        <v>6.7163742690058488</v>
      </c>
      <c r="AI30" s="3">
        <v>3.9304347826086956</v>
      </c>
      <c r="AJ30" s="3">
        <v>877.7974999999999</v>
      </c>
      <c r="AK30" s="3">
        <v>1.7763636363636364</v>
      </c>
      <c r="AL30" s="3">
        <v>7.0900000000000007</v>
      </c>
      <c r="AM30" s="3">
        <v>0.45033112582781459</v>
      </c>
      <c r="AN30" s="3">
        <v>3.9693750000000003</v>
      </c>
      <c r="AO30" s="3">
        <v>174.55699999999999</v>
      </c>
      <c r="AP30" s="3">
        <v>0.79999999999999993</v>
      </c>
      <c r="AQ30" s="3">
        <v>156.03333333333333</v>
      </c>
      <c r="AR30" s="3">
        <v>97.682857142857131</v>
      </c>
      <c r="AS30" s="3">
        <v>439.41428571428565</v>
      </c>
      <c r="AT30" s="3">
        <v>221.24571428571426</v>
      </c>
      <c r="AU30" s="3">
        <v>4.6520467836257309</v>
      </c>
      <c r="AV30" s="3">
        <v>22.627680311890838</v>
      </c>
      <c r="AW30" s="3">
        <v>0.37134502923976609</v>
      </c>
      <c r="AX30" s="3">
        <v>0.58272727272727276</v>
      </c>
      <c r="AY30" s="3">
        <v>25.763636363636365</v>
      </c>
      <c r="AZ30" s="3">
        <v>22.244545454545452</v>
      </c>
      <c r="BA30" s="3">
        <v>0.22795698924731184</v>
      </c>
      <c r="BB30" s="3">
        <v>0.57428571428571418</v>
      </c>
    </row>
    <row r="31" spans="1:54">
      <c r="A31" s="2" t="s">
        <v>26</v>
      </c>
      <c r="B31" s="2" t="s">
        <v>102</v>
      </c>
      <c r="C31" s="3">
        <v>394.44127272727275</v>
      </c>
      <c r="D31" s="3">
        <v>2861.8948648648652</v>
      </c>
      <c r="E31" s="3">
        <v>0.87580645161290327</v>
      </c>
      <c r="F31" s="3">
        <v>11.878571428571428</v>
      </c>
      <c r="G31" s="3">
        <v>32.641602739726032</v>
      </c>
      <c r="H31" s="3">
        <v>75.591935483870969</v>
      </c>
      <c r="I31" s="3">
        <v>5.9991935483870966</v>
      </c>
      <c r="J31" s="3">
        <v>8.810483870967742</v>
      </c>
      <c r="K31" s="3">
        <v>3.6927419354838706</v>
      </c>
      <c r="L31" s="3">
        <v>18.860806493506498</v>
      </c>
      <c r="M31" s="3">
        <v>833.23428571428565</v>
      </c>
      <c r="N31" s="3">
        <v>14.421453982300884</v>
      </c>
      <c r="O31" s="3">
        <v>11.223805128205129</v>
      </c>
      <c r="P31" s="3">
        <v>34.436363636363637</v>
      </c>
      <c r="Q31" s="3">
        <v>5.1247945205479457</v>
      </c>
      <c r="R31" s="3">
        <v>0.89856388780677843</v>
      </c>
      <c r="S31" s="3">
        <v>4.9792079207920787</v>
      </c>
      <c r="T31" s="3">
        <v>7.6265844467283319</v>
      </c>
      <c r="U31" s="3">
        <v>0.27667567567567564</v>
      </c>
      <c r="V31" s="3">
        <v>35.108870801033596</v>
      </c>
      <c r="W31" s="3">
        <v>24.87288053097345</v>
      </c>
      <c r="X31" s="3">
        <v>1.6681818181818184</v>
      </c>
      <c r="Y31" s="3">
        <v>4.1491228070175445</v>
      </c>
      <c r="Z31" s="3">
        <v>117.21761336190104</v>
      </c>
      <c r="AA31" s="3">
        <v>1.8176100628930816</v>
      </c>
      <c r="AB31" s="3">
        <v>0.35019157088122604</v>
      </c>
      <c r="AC31" s="3">
        <v>163.6</v>
      </c>
      <c r="AD31" s="3">
        <v>1.3263157894736843</v>
      </c>
      <c r="AE31" s="3">
        <v>0.38023255813953494</v>
      </c>
      <c r="AF31" s="3">
        <v>10.355855855855856</v>
      </c>
      <c r="AG31" s="3">
        <v>6.8226120857699815E-2</v>
      </c>
      <c r="AH31" s="3">
        <v>3.8693957115009749</v>
      </c>
      <c r="AI31" s="3">
        <v>6.4260869565217389</v>
      </c>
      <c r="AJ31" s="3">
        <v>557.36249999999995</v>
      </c>
      <c r="AK31" s="3">
        <v>1.5054545454545454</v>
      </c>
      <c r="AL31" s="3">
        <v>4.9727272727272727</v>
      </c>
      <c r="AM31" s="3">
        <v>0.26684846123880018</v>
      </c>
      <c r="AN31" s="3">
        <v>4.1881250000000003</v>
      </c>
      <c r="AO31" s="3">
        <v>402.26</v>
      </c>
      <c r="AP31" s="3">
        <v>0.93599999999999994</v>
      </c>
      <c r="AQ31" s="3">
        <v>113.80000000000001</v>
      </c>
      <c r="AR31" s="3">
        <v>60.611428571428561</v>
      </c>
      <c r="AS31" s="3">
        <v>297.42</v>
      </c>
      <c r="AT31" s="3">
        <v>230.09714285714284</v>
      </c>
      <c r="AU31" s="3">
        <v>3.0623781676413255</v>
      </c>
      <c r="AV31" s="3">
        <v>18.67543859649123</v>
      </c>
      <c r="AW31" s="3">
        <v>0.29434697855750491</v>
      </c>
      <c r="AX31" s="3">
        <v>0.23363636363636364</v>
      </c>
      <c r="AY31" s="3">
        <v>2.3818181818181818</v>
      </c>
      <c r="AZ31" s="3">
        <v>26.612727272727273</v>
      </c>
      <c r="BA31" s="3">
        <v>1.467741935483871</v>
      </c>
      <c r="BB31" s="3">
        <v>0.27142857142857141</v>
      </c>
    </row>
    <row r="32" spans="1:54">
      <c r="A32" s="2" t="s">
        <v>104</v>
      </c>
      <c r="B32" s="2" t="s">
        <v>102</v>
      </c>
      <c r="C32" s="3">
        <f>AVERAGE(C31,C17)</f>
        <v>347.87763636363638</v>
      </c>
      <c r="D32" s="3">
        <f t="shared" ref="D32:BB32" si="3">AVERAGE(D31,D17)</f>
        <v>2689.9570270270274</v>
      </c>
      <c r="E32" s="3">
        <f t="shared" si="3"/>
        <v>0.93185483870967745</v>
      </c>
      <c r="F32" s="3">
        <f t="shared" si="3"/>
        <v>9.6392857142857142</v>
      </c>
      <c r="G32" s="3">
        <f t="shared" si="3"/>
        <v>28.451876712328772</v>
      </c>
      <c r="H32" s="3">
        <f t="shared" si="3"/>
        <v>73.290725806451604</v>
      </c>
      <c r="I32" s="3">
        <f t="shared" si="3"/>
        <v>15.453629032258066</v>
      </c>
      <c r="J32" s="3">
        <f t="shared" si="3"/>
        <v>8.4967741935483865</v>
      </c>
      <c r="K32" s="3">
        <f t="shared" si="3"/>
        <v>4.1665322580645157</v>
      </c>
      <c r="L32" s="3">
        <f t="shared" si="3"/>
        <v>21.371196103896107</v>
      </c>
      <c r="M32" s="3">
        <f t="shared" si="3"/>
        <v>775.23785714285702</v>
      </c>
      <c r="N32" s="3">
        <f t="shared" si="3"/>
        <v>14.515259292035397</v>
      </c>
      <c r="O32" s="3">
        <f t="shared" si="3"/>
        <v>13.131497435897437</v>
      </c>
      <c r="P32" s="3">
        <f t="shared" si="3"/>
        <v>29.927272727272729</v>
      </c>
      <c r="Q32" s="3">
        <f t="shared" si="3"/>
        <v>5.8467123287671239</v>
      </c>
      <c r="R32" s="3">
        <f t="shared" si="3"/>
        <v>1.0286768601480327</v>
      </c>
      <c r="S32" s="3">
        <f t="shared" si="3"/>
        <v>5.8207920792079211</v>
      </c>
      <c r="T32" s="3">
        <f t="shared" si="3"/>
        <v>7.0231243576567319</v>
      </c>
      <c r="U32" s="3">
        <f t="shared" si="3"/>
        <v>0.26991891891891889</v>
      </c>
      <c r="V32" s="3">
        <f t="shared" si="3"/>
        <v>35.222565891472868</v>
      </c>
      <c r="W32" s="3">
        <f t="shared" si="3"/>
        <v>22.399429203539825</v>
      </c>
      <c r="X32" s="3">
        <f t="shared" si="3"/>
        <v>1.3250000000000002</v>
      </c>
      <c r="Y32" s="3">
        <f t="shared" si="3"/>
        <v>3.5394736842105265</v>
      </c>
      <c r="Z32" s="3">
        <f t="shared" si="3"/>
        <v>95.458750876509541</v>
      </c>
      <c r="AA32" s="3">
        <f t="shared" si="3"/>
        <v>1.7327044025157232</v>
      </c>
      <c r="AB32" s="3">
        <f t="shared" si="3"/>
        <v>0.26551724137931032</v>
      </c>
      <c r="AC32" s="3">
        <f t="shared" si="3"/>
        <v>124.02093023255813</v>
      </c>
      <c r="AD32" s="3">
        <f t="shared" si="3"/>
        <v>1.142105263157895</v>
      </c>
      <c r="AE32" s="3">
        <f t="shared" si="3"/>
        <v>0.57558139534883723</v>
      </c>
      <c r="AF32" s="3">
        <f t="shared" si="3"/>
        <v>9.422972972972973</v>
      </c>
      <c r="AG32" s="3">
        <f t="shared" si="3"/>
        <v>5.7017543859649134E-2</v>
      </c>
      <c r="AH32" s="3">
        <f t="shared" si="3"/>
        <v>3.1028265107212478</v>
      </c>
      <c r="AI32" s="3">
        <f t="shared" si="3"/>
        <v>4.4739130434782606</v>
      </c>
      <c r="AJ32" s="3">
        <f t="shared" si="3"/>
        <v>467.51</v>
      </c>
      <c r="AK32" s="3">
        <f t="shared" si="3"/>
        <v>1.0972727272727272</v>
      </c>
      <c r="AL32" s="3">
        <f t="shared" si="3"/>
        <v>3.0695454545454544</v>
      </c>
      <c r="AM32" s="3">
        <f t="shared" si="3"/>
        <v>0.21912738605375925</v>
      </c>
      <c r="AN32" s="3">
        <f t="shared" si="3"/>
        <v>3.9534375000000002</v>
      </c>
      <c r="AO32" s="3">
        <f t="shared" si="3"/>
        <v>315.24349999999998</v>
      </c>
      <c r="AP32" s="3">
        <f t="shared" si="3"/>
        <v>0.86899999999999999</v>
      </c>
      <c r="AQ32" s="3">
        <f t="shared" si="3"/>
        <v>82.233333333333348</v>
      </c>
      <c r="AR32" s="3">
        <f t="shared" si="3"/>
        <v>49.868571428571421</v>
      </c>
      <c r="AS32" s="3">
        <f t="shared" si="3"/>
        <v>291.93714285714282</v>
      </c>
      <c r="AT32" s="3">
        <f t="shared" si="3"/>
        <v>124.24714285714285</v>
      </c>
      <c r="AU32" s="3">
        <f t="shared" si="3"/>
        <v>2.4848927875243665</v>
      </c>
      <c r="AV32" s="3">
        <f t="shared" si="3"/>
        <v>16.049707602339183</v>
      </c>
      <c r="AW32" s="3">
        <f t="shared" si="3"/>
        <v>0.2392787524366472</v>
      </c>
      <c r="AX32" s="3">
        <f t="shared" si="3"/>
        <v>0.17545454545454547</v>
      </c>
      <c r="AY32" s="3">
        <f t="shared" si="3"/>
        <v>1.4954545454545456</v>
      </c>
      <c r="AZ32" s="3">
        <f t="shared" si="3"/>
        <v>23.535454545454545</v>
      </c>
      <c r="BA32" s="3">
        <f t="shared" si="3"/>
        <v>1.7758064516129033</v>
      </c>
      <c r="BB32" s="3">
        <f t="shared" si="3"/>
        <v>0.24571428571428569</v>
      </c>
    </row>
    <row r="33" spans="1:54">
      <c r="A33" s="2" t="s">
        <v>27</v>
      </c>
      <c r="B33" s="2" t="s">
        <v>103</v>
      </c>
      <c r="C33" s="3">
        <v>185.85263636363635</v>
      </c>
      <c r="D33" s="3">
        <v>1917.7705405405404</v>
      </c>
      <c r="E33" s="3">
        <v>0.86774193548387102</v>
      </c>
      <c r="F33" s="3">
        <v>6.8607142857142858</v>
      </c>
      <c r="G33" s="3">
        <v>23.80050684931507</v>
      </c>
      <c r="H33" s="3">
        <v>74.375</v>
      </c>
      <c r="I33" s="3">
        <v>127.82822580645161</v>
      </c>
      <c r="J33" s="3">
        <v>9.0758064516129036</v>
      </c>
      <c r="K33" s="3">
        <v>4.0846774193548381</v>
      </c>
      <c r="L33" s="3">
        <v>12.456910389610389</v>
      </c>
      <c r="M33" s="3">
        <v>681.66857142857134</v>
      </c>
      <c r="N33" s="3">
        <v>6.2639318584070791</v>
      </c>
      <c r="O33" s="3">
        <v>11.93534358974359</v>
      </c>
      <c r="P33" s="3">
        <v>31.22727272727273</v>
      </c>
      <c r="Q33" s="3">
        <v>3.4426027397260279</v>
      </c>
      <c r="R33" s="3">
        <v>0.35707576938059993</v>
      </c>
      <c r="S33" s="3">
        <v>4.4910891089108906</v>
      </c>
      <c r="T33" s="3">
        <v>13.468311065433367</v>
      </c>
      <c r="U33" s="3">
        <v>0.19505405405405407</v>
      </c>
      <c r="V33" s="3">
        <v>31.956416020671835</v>
      </c>
      <c r="W33" s="3">
        <v>10.884679941002949</v>
      </c>
      <c r="X33" s="3">
        <v>1.0454545454545454</v>
      </c>
      <c r="Y33" s="3">
        <v>4.3148148148148149</v>
      </c>
      <c r="Z33" s="3">
        <v>96.114380015582398</v>
      </c>
      <c r="AA33" s="3">
        <v>1.7672955974842766</v>
      </c>
      <c r="AB33" s="3">
        <v>0.26168582375478927</v>
      </c>
      <c r="AC33" s="3">
        <v>84.503488372093031</v>
      </c>
      <c r="AD33" s="3">
        <v>1.5210526315789474</v>
      </c>
      <c r="AE33" s="3">
        <v>0.45465116279069773</v>
      </c>
      <c r="AF33" s="3">
        <v>14.163963963963964</v>
      </c>
      <c r="AG33" s="3">
        <v>7.1150097465886936E-2</v>
      </c>
      <c r="AH33" s="3">
        <v>4.0155945419103309</v>
      </c>
      <c r="AI33" s="3">
        <v>6.0217391304347831</v>
      </c>
      <c r="AJ33" s="3">
        <v>508.45749999999998</v>
      </c>
      <c r="AK33" s="3">
        <v>1.1118181818181818</v>
      </c>
      <c r="AL33" s="3">
        <v>2.419090909090909</v>
      </c>
      <c r="AM33" s="3">
        <v>0.28827425009738994</v>
      </c>
      <c r="AN33" s="3">
        <v>2.9156249999999999</v>
      </c>
      <c r="AO33" s="3">
        <v>440.19499999999999</v>
      </c>
      <c r="AP33" s="3">
        <v>1.5989999999999998</v>
      </c>
      <c r="AQ33" s="3">
        <v>247.56</v>
      </c>
      <c r="AR33" s="3">
        <v>180.0085714285714</v>
      </c>
      <c r="AS33" s="3">
        <v>236.32</v>
      </c>
      <c r="AT33" s="3">
        <v>125.1342857142857</v>
      </c>
      <c r="AU33" s="3">
        <v>3.2748538011695909</v>
      </c>
      <c r="AV33" s="3">
        <v>36.597465886939574</v>
      </c>
      <c r="AW33" s="3">
        <v>1.00682261208577</v>
      </c>
      <c r="AX33" s="3">
        <v>0.55636363636363628</v>
      </c>
      <c r="AY33" s="3">
        <v>2.372727272727273</v>
      </c>
      <c r="AZ33" s="3">
        <v>31.379090909090912</v>
      </c>
      <c r="BA33" s="3">
        <v>1.7236559139784946</v>
      </c>
      <c r="BB33" s="3">
        <v>0.74571428571428566</v>
      </c>
    </row>
    <row r="34" spans="1:54">
      <c r="A34" s="2" t="s">
        <v>28</v>
      </c>
      <c r="B34" s="2" t="s">
        <v>103</v>
      </c>
      <c r="C34" s="3">
        <v>3.9458181818181823</v>
      </c>
      <c r="D34" s="3">
        <v>1800.8759459459461</v>
      </c>
      <c r="E34" s="3">
        <v>3.3104838709677415</v>
      </c>
      <c r="F34" s="3">
        <v>13.585714285714285</v>
      </c>
      <c r="G34" s="3">
        <v>30.496397260273973</v>
      </c>
      <c r="H34" s="3">
        <v>47.235483870967741</v>
      </c>
      <c r="I34" s="3">
        <v>46.696774193548386</v>
      </c>
      <c r="J34" s="3">
        <v>3.1080645161290326</v>
      </c>
      <c r="K34" s="3">
        <v>4.9669354838709676</v>
      </c>
      <c r="L34" s="3">
        <v>30.099767532467531</v>
      </c>
      <c r="M34" s="3">
        <v>373.11</v>
      </c>
      <c r="N34" s="3">
        <v>7.0674716814159293</v>
      </c>
      <c r="O34" s="3">
        <v>23.630215384615383</v>
      </c>
      <c r="P34" s="3">
        <v>38.63636363636364</v>
      </c>
      <c r="Q34" s="3">
        <v>7.6220547945205483</v>
      </c>
      <c r="R34" s="3">
        <v>1.2721517335410986</v>
      </c>
      <c r="S34" s="3">
        <v>23.670297029702969</v>
      </c>
      <c r="T34" s="3">
        <v>44.882151421719769</v>
      </c>
      <c r="U34" s="3">
        <v>0.25343243243243241</v>
      </c>
      <c r="V34" s="3">
        <v>49.908612403100776</v>
      </c>
      <c r="W34" s="3">
        <v>26.100019174041297</v>
      </c>
      <c r="X34" s="3">
        <v>0.69545454545454544</v>
      </c>
      <c r="Y34" s="3">
        <v>5.7621832358674459</v>
      </c>
      <c r="Z34" s="3">
        <v>254.62431379041686</v>
      </c>
      <c r="AA34" s="3">
        <v>3.4339622641509435</v>
      </c>
      <c r="AB34" s="3">
        <v>0.84406130268199231</v>
      </c>
      <c r="AC34" s="3">
        <v>65.706976744186051</v>
      </c>
      <c r="AD34" s="3">
        <v>0.61052631578947369</v>
      </c>
      <c r="AE34" s="3">
        <v>0.70000000000000007</v>
      </c>
      <c r="AF34" s="3">
        <v>51.290990990990991</v>
      </c>
      <c r="AG34" s="3">
        <v>0.15204678362573099</v>
      </c>
      <c r="AH34" s="3">
        <v>5.3966861598440543</v>
      </c>
      <c r="AI34" s="3">
        <v>6.4956521739130437</v>
      </c>
      <c r="AJ34" s="3">
        <v>1653.7075000000002</v>
      </c>
      <c r="AK34" s="3">
        <v>1.5999999999999999</v>
      </c>
      <c r="AL34" s="3">
        <v>2.8381818181818179</v>
      </c>
      <c r="AM34" s="3">
        <v>0.47604207245812236</v>
      </c>
      <c r="AN34" s="3">
        <v>8.8874999999999993</v>
      </c>
      <c r="AO34" s="3">
        <v>383.80799999999999</v>
      </c>
      <c r="AP34" s="3">
        <v>1.1299999999999999</v>
      </c>
      <c r="AQ34" s="3">
        <v>198.39333333333335</v>
      </c>
      <c r="AR34" s="3">
        <v>201.57714285714283</v>
      </c>
      <c r="AS34" s="3">
        <v>235.70285714285708</v>
      </c>
      <c r="AT34" s="3">
        <v>172.51428571428571</v>
      </c>
      <c r="AU34" s="3">
        <v>4.6130604288499031</v>
      </c>
      <c r="AV34" s="3">
        <v>42.107212475633531</v>
      </c>
      <c r="AW34" s="3">
        <v>0.83723196881091622</v>
      </c>
      <c r="AX34" s="3">
        <v>0.54909090909090907</v>
      </c>
      <c r="AY34" s="3">
        <v>10.672727272727274</v>
      </c>
      <c r="AZ34" s="3">
        <v>66.046363636363637</v>
      </c>
      <c r="BA34" s="3">
        <v>1.8870967741935483</v>
      </c>
      <c r="BB34" s="3">
        <v>0.56285714285714272</v>
      </c>
    </row>
    <row r="35" spans="1:54">
      <c r="A35" s="2" t="s">
        <v>29</v>
      </c>
      <c r="B35" s="2" t="s">
        <v>92</v>
      </c>
      <c r="C35" s="3">
        <v>185.60718181818183</v>
      </c>
      <c r="D35" s="3">
        <v>1839.2543243243244</v>
      </c>
      <c r="E35" s="3">
        <v>0.86451612903225805</v>
      </c>
      <c r="F35" s="3">
        <v>9.5285714285714285</v>
      </c>
      <c r="G35" s="3">
        <v>34.666260273972611</v>
      </c>
      <c r="H35" s="3">
        <v>28.821774193548389</v>
      </c>
      <c r="I35" s="3">
        <v>3.0524193548387095</v>
      </c>
      <c r="J35" s="3">
        <v>6.2975806451612906</v>
      </c>
      <c r="K35" s="3">
        <v>2.2306451612903229</v>
      </c>
      <c r="L35" s="3">
        <v>26.699767532467533</v>
      </c>
      <c r="M35" s="3">
        <v>937.63999999999987</v>
      </c>
      <c r="N35" s="3">
        <v>12.604639823008847</v>
      </c>
      <c r="O35" s="3">
        <v>19.168676923076923</v>
      </c>
      <c r="P35" s="3">
        <v>43.81818181818182</v>
      </c>
      <c r="Q35" s="3">
        <v>8.0015068493150707</v>
      </c>
      <c r="R35" s="3">
        <v>0.47978710557070509</v>
      </c>
      <c r="S35" s="3">
        <v>5.064356435643564</v>
      </c>
      <c r="T35" s="3">
        <v>8.2038369304556351</v>
      </c>
      <c r="U35" s="3">
        <v>0.18424324324324323</v>
      </c>
      <c r="V35" s="3">
        <v>30.173470284237727</v>
      </c>
      <c r="W35" s="3">
        <v>37.333057522123895</v>
      </c>
      <c r="X35" s="3">
        <v>0.39545454545454545</v>
      </c>
      <c r="Y35" s="3">
        <v>4.5662768031189085</v>
      </c>
      <c r="Z35" s="3">
        <v>120.64145442150371</v>
      </c>
      <c r="AA35" s="3">
        <v>2.3584905660377355</v>
      </c>
      <c r="AB35" s="3">
        <v>0.34827586206896549</v>
      </c>
      <c r="AC35" s="3">
        <v>93.005813953488385</v>
      </c>
      <c r="AD35" s="3">
        <v>0.70526315789473693</v>
      </c>
      <c r="AE35" s="3">
        <v>0.32558139534883723</v>
      </c>
      <c r="AF35" s="3">
        <v>12.022522522522523</v>
      </c>
      <c r="AG35" s="3">
        <v>6.725146198830409E-2</v>
      </c>
      <c r="AH35" s="3">
        <v>2.9444444444444442</v>
      </c>
      <c r="AI35" s="3">
        <v>7.4304347826086961</v>
      </c>
      <c r="AJ35" s="3">
        <v>825.28749999999991</v>
      </c>
      <c r="AK35" s="3">
        <v>1.2009090909090909</v>
      </c>
      <c r="AL35" s="3">
        <v>2.689090909090909</v>
      </c>
      <c r="AM35" s="3">
        <v>0.14141020646669264</v>
      </c>
      <c r="AN35" s="3">
        <v>5.415</v>
      </c>
      <c r="AO35" s="3">
        <v>560.90299999999991</v>
      </c>
      <c r="AP35" s="3">
        <v>1.6289999999999998</v>
      </c>
      <c r="AQ35" s="3">
        <v>232.96</v>
      </c>
      <c r="AR35" s="3">
        <v>123.45142857142856</v>
      </c>
      <c r="AS35" s="3">
        <v>239.42857142857142</v>
      </c>
      <c r="AT35" s="3">
        <v>176.10571428571427</v>
      </c>
      <c r="AU35" s="3">
        <v>3.6179337231968809</v>
      </c>
      <c r="AV35" s="3">
        <v>16.689083820662766</v>
      </c>
      <c r="AW35" s="3">
        <v>0.47660818713450293</v>
      </c>
      <c r="AX35" s="3">
        <v>0.24090909090909091</v>
      </c>
      <c r="AY35" s="3">
        <v>1.6090909090909091</v>
      </c>
      <c r="AZ35" s="3">
        <v>20.132727272727273</v>
      </c>
      <c r="BA35" s="3">
        <v>2.2870967741935484</v>
      </c>
      <c r="BB35" s="3">
        <v>0.62857142857142845</v>
      </c>
    </row>
    <row r="36" spans="1:54">
      <c r="A36" s="2" t="s">
        <v>30</v>
      </c>
      <c r="B36" s="2" t="s">
        <v>92</v>
      </c>
      <c r="C36" s="3">
        <v>1.2867272727272729</v>
      </c>
      <c r="D36" s="3">
        <v>1675.165135135135</v>
      </c>
      <c r="E36" s="3">
        <v>1.0548387096774194</v>
      </c>
      <c r="F36" s="3">
        <v>6.9892857142857148</v>
      </c>
      <c r="G36" s="3">
        <v>15.453931506849317</v>
      </c>
      <c r="H36" s="3">
        <v>27.758870967741935</v>
      </c>
      <c r="I36" s="3">
        <v>10.92741935483871</v>
      </c>
      <c r="J36" s="3">
        <v>5.4161290322580644</v>
      </c>
      <c r="K36" s="3">
        <v>1.3717741935483871</v>
      </c>
      <c r="L36" s="3">
        <v>14.428338961038961</v>
      </c>
      <c r="M36" s="3">
        <v>750.70999999999992</v>
      </c>
      <c r="N36" s="3">
        <v>11.287825663716815</v>
      </c>
      <c r="O36" s="3">
        <v>9.7776512820512824</v>
      </c>
      <c r="P36" s="3">
        <v>38.254545454545458</v>
      </c>
      <c r="Q36" s="3">
        <v>3.77</v>
      </c>
      <c r="R36" s="3">
        <v>0.34967413322945073</v>
      </c>
      <c r="S36" s="3">
        <v>5.717821782178218</v>
      </c>
      <c r="T36" s="3">
        <v>6.1164782459746494</v>
      </c>
      <c r="U36" s="3">
        <v>0.24100000000000002</v>
      </c>
      <c r="V36" s="3">
        <v>28.766493540051677</v>
      </c>
      <c r="W36" s="3">
        <v>22.541022123893807</v>
      </c>
      <c r="X36" s="3">
        <v>0.45909090909090911</v>
      </c>
      <c r="Y36" s="3">
        <v>3.5750487329434701</v>
      </c>
      <c r="Z36" s="3">
        <v>110.97180112972342</v>
      </c>
      <c r="AA36" s="3">
        <v>2.1698113207547172</v>
      </c>
      <c r="AB36" s="3">
        <v>0.1793103448275862</v>
      </c>
      <c r="AC36" s="3">
        <v>84.833720930232559</v>
      </c>
      <c r="AD36" s="3">
        <v>0.5</v>
      </c>
      <c r="AE36" s="3">
        <v>0.31976744186046513</v>
      </c>
      <c r="AF36" s="3">
        <v>9.3981981981981964</v>
      </c>
      <c r="AG36" s="3">
        <v>4.6783625730994149E-2</v>
      </c>
      <c r="AH36" s="3">
        <v>3.3801169590643276</v>
      </c>
      <c r="AI36" s="3">
        <v>5.7826086956521747</v>
      </c>
      <c r="AJ36" s="3">
        <v>528.02</v>
      </c>
      <c r="AK36" s="3">
        <v>1.1945454545454544</v>
      </c>
      <c r="AL36" s="3">
        <v>3.271818181818182</v>
      </c>
      <c r="AM36" s="3">
        <v>0.14725360342812624</v>
      </c>
      <c r="AN36" s="3">
        <v>2.8412499999999996</v>
      </c>
      <c r="AO36" s="3">
        <v>329.86400000000003</v>
      </c>
      <c r="AP36" s="3">
        <v>1.5429999999999999</v>
      </c>
      <c r="AQ36" s="3">
        <v>125.62</v>
      </c>
      <c r="AR36" s="3">
        <v>68.051428571428573</v>
      </c>
      <c r="AS36" s="3">
        <v>271.88</v>
      </c>
      <c r="AT36" s="3">
        <v>142.61714285714285</v>
      </c>
      <c r="AU36" s="3">
        <v>2.6881091617933723</v>
      </c>
      <c r="AV36" s="3">
        <v>16.969785575048736</v>
      </c>
      <c r="AW36" s="3">
        <v>0.37231968810916177</v>
      </c>
      <c r="AX36" s="3">
        <v>0.27545454545454545</v>
      </c>
      <c r="AY36" s="3">
        <v>1.8909090909090909</v>
      </c>
      <c r="AZ36" s="3">
        <v>26.282727272727271</v>
      </c>
      <c r="BA36" s="3">
        <v>1.3150537634408603</v>
      </c>
      <c r="BB36" s="3">
        <v>0.30571428571428566</v>
      </c>
    </row>
    <row r="37" spans="1:54">
      <c r="A37" s="2" t="s">
        <v>31</v>
      </c>
      <c r="B37" s="2" t="s">
        <v>93</v>
      </c>
      <c r="C37" s="3">
        <v>74.770818181818186</v>
      </c>
      <c r="D37" s="3">
        <v>1825.1056756756759</v>
      </c>
      <c r="E37" s="3">
        <v>0.72580645161290325</v>
      </c>
      <c r="F37" s="3">
        <v>8.375</v>
      </c>
      <c r="G37" s="3">
        <v>18.107356164383564</v>
      </c>
      <c r="H37" s="3">
        <v>15.641129032258064</v>
      </c>
      <c r="I37" s="3">
        <v>2.9596774193548385</v>
      </c>
      <c r="J37" s="3">
        <v>3.0193548387096776</v>
      </c>
      <c r="K37" s="3">
        <v>3.2403225806451612</v>
      </c>
      <c r="L37" s="3">
        <v>8.6867805194805197</v>
      </c>
      <c r="M37" s="3">
        <v>894.19428571428568</v>
      </c>
      <c r="N37" s="3">
        <v>19.480746017699115</v>
      </c>
      <c r="O37" s="3">
        <v>6.8968820512820512</v>
      </c>
      <c r="P37" s="3">
        <v>34.736363636363635</v>
      </c>
      <c r="Q37" s="3">
        <v>2.7713698630136987</v>
      </c>
      <c r="R37" s="3">
        <v>0.42914433190494744</v>
      </c>
      <c r="S37" s="3">
        <v>5.5831683168316824</v>
      </c>
      <c r="T37" s="3">
        <v>6.9122987324426175</v>
      </c>
      <c r="U37" s="3">
        <v>0.23829729729729732</v>
      </c>
      <c r="V37" s="3">
        <v>22.891816537467701</v>
      </c>
      <c r="W37" s="3">
        <v>21.543971976401178</v>
      </c>
      <c r="X37" s="3">
        <v>0.2</v>
      </c>
      <c r="Y37" s="3">
        <v>2.5428849902534116</v>
      </c>
      <c r="Z37" s="3">
        <v>58.993226918582003</v>
      </c>
      <c r="AA37" s="3">
        <v>1.5849056603773584</v>
      </c>
      <c r="AB37" s="3">
        <v>0.10268199233716475</v>
      </c>
      <c r="AC37" s="3">
        <v>52.81511627906977</v>
      </c>
      <c r="AD37" s="3">
        <v>0.44736842105263164</v>
      </c>
      <c r="AE37" s="3">
        <v>0.27209302325581397</v>
      </c>
      <c r="AF37" s="3">
        <v>6.1225225225225222</v>
      </c>
      <c r="AG37" s="3">
        <v>5.6530214424951264E-2</v>
      </c>
      <c r="AH37" s="3">
        <v>2.7124756335282649</v>
      </c>
      <c r="AI37" s="3">
        <v>4.0043478260869563</v>
      </c>
      <c r="AJ37" s="3">
        <v>465.98750000000001</v>
      </c>
      <c r="AK37" s="3">
        <v>0.77090909090909088</v>
      </c>
      <c r="AL37" s="3">
        <v>1.9763636363636365</v>
      </c>
      <c r="AM37" s="3">
        <v>0.1382937280872614</v>
      </c>
      <c r="AN37" s="3">
        <v>4.42875</v>
      </c>
      <c r="AO37" s="3">
        <v>149.73699999999999</v>
      </c>
      <c r="AP37" s="3">
        <v>1.0649999999999999</v>
      </c>
      <c r="AQ37" s="3">
        <v>113.96666666666667</v>
      </c>
      <c r="AR37" s="3">
        <v>63.265714285714282</v>
      </c>
      <c r="AS37" s="3">
        <v>388.90571428571428</v>
      </c>
      <c r="AT37" s="3">
        <v>256.27714285714279</v>
      </c>
      <c r="AU37" s="3">
        <v>2.3060428849902537</v>
      </c>
      <c r="AV37" s="3">
        <v>13.30896686159844</v>
      </c>
      <c r="AW37" s="3">
        <v>0.2699805068226121</v>
      </c>
      <c r="AX37" s="3">
        <v>0.13545454545454547</v>
      </c>
      <c r="AY37" s="3">
        <v>1.3636363636363638</v>
      </c>
      <c r="AZ37" s="3">
        <v>19.921818181818178</v>
      </c>
      <c r="BA37" s="3">
        <v>1.1365591397849462</v>
      </c>
      <c r="BB37" s="3">
        <v>0.22571428571428573</v>
      </c>
    </row>
    <row r="38" spans="1:54">
      <c r="A38" s="2" t="s">
        <v>32</v>
      </c>
      <c r="B38" s="2" t="s">
        <v>93</v>
      </c>
      <c r="C38" s="3">
        <v>165.06854545454547</v>
      </c>
      <c r="D38" s="3">
        <v>2428.3894594594599</v>
      </c>
      <c r="E38" s="3">
        <v>2.8056451612903226</v>
      </c>
      <c r="F38" s="3">
        <v>9.8642857142857139</v>
      </c>
      <c r="G38" s="3">
        <v>22.632013698630139</v>
      </c>
      <c r="H38" s="3">
        <v>87.819354838709671</v>
      </c>
      <c r="I38" s="3">
        <v>7.35</v>
      </c>
      <c r="J38" s="3">
        <v>7.5395161290322577</v>
      </c>
      <c r="K38" s="3">
        <v>5.4137096774193552</v>
      </c>
      <c r="L38" s="3">
        <v>15.4673</v>
      </c>
      <c r="M38" s="3">
        <v>1188.4128571428571</v>
      </c>
      <c r="N38" s="3">
        <v>7.7533123893805307</v>
      </c>
      <c r="O38" s="3">
        <v>11.1456</v>
      </c>
      <c r="P38" s="3">
        <v>46.88181818181819</v>
      </c>
      <c r="Q38" s="3">
        <v>4.163150684931507</v>
      </c>
      <c r="R38" s="3">
        <v>0.40771854304635763</v>
      </c>
      <c r="S38" s="3">
        <v>5.7207920792079205</v>
      </c>
      <c r="T38" s="3">
        <v>8.7303871188763278</v>
      </c>
      <c r="U38" s="3">
        <v>0.26532432432432435</v>
      </c>
      <c r="V38" s="3">
        <v>40.544271317829462</v>
      </c>
      <c r="W38" s="3">
        <v>19.523323008849555</v>
      </c>
      <c r="X38" s="3">
        <v>0.27727272727272728</v>
      </c>
      <c r="Y38" s="3">
        <v>5.3986354775828458</v>
      </c>
      <c r="Z38" s="3">
        <v>167.5526347876899</v>
      </c>
      <c r="AA38" s="3">
        <v>2.5471698113207548</v>
      </c>
      <c r="AB38" s="3">
        <v>0.34252873563218389</v>
      </c>
      <c r="AC38" s="3">
        <v>97.665116279069778</v>
      </c>
      <c r="AD38" s="3">
        <v>0.78947368421052633</v>
      </c>
      <c r="AE38" s="3">
        <v>0.35465116279069769</v>
      </c>
      <c r="AF38" s="3">
        <v>11.519819819819819</v>
      </c>
      <c r="AG38" s="3">
        <v>8.9668615984405453E-2</v>
      </c>
      <c r="AH38" s="3">
        <v>4.4814814814814818</v>
      </c>
      <c r="AI38" s="3">
        <v>7.8347826086956527</v>
      </c>
      <c r="AJ38" s="3">
        <v>968.40499999999986</v>
      </c>
      <c r="AK38" s="3">
        <v>1.1945454545454544</v>
      </c>
      <c r="AL38" s="3">
        <v>2.0745454545454542</v>
      </c>
      <c r="AM38" s="3">
        <v>0.24308531359563693</v>
      </c>
      <c r="AN38" s="3">
        <v>5.43</v>
      </c>
      <c r="AO38" s="3">
        <v>412.33899999999994</v>
      </c>
      <c r="AP38" s="3">
        <v>1.4669999999999999</v>
      </c>
      <c r="AQ38" s="3">
        <v>179.58666666666667</v>
      </c>
      <c r="AR38" s="3">
        <v>176.59142857142854</v>
      </c>
      <c r="AS38" s="3">
        <v>416.98571428571427</v>
      </c>
      <c r="AT38" s="3">
        <v>256.23428571428565</v>
      </c>
      <c r="AU38" s="3">
        <v>4.3586744639376223</v>
      </c>
      <c r="AV38" s="3">
        <v>21.483430799220276</v>
      </c>
      <c r="AW38" s="3">
        <v>0.20955165692007796</v>
      </c>
      <c r="AX38" s="3">
        <v>0.24636363636363637</v>
      </c>
      <c r="AY38" s="3">
        <v>3.9636363636363638</v>
      </c>
      <c r="AZ38" s="3">
        <v>39.754545454545458</v>
      </c>
      <c r="BA38" s="3">
        <v>3.1365591397849464</v>
      </c>
      <c r="BB38" s="3">
        <v>0.92285714285714282</v>
      </c>
    </row>
    <row r="39" spans="1:54">
      <c r="A39" s="2" t="s">
        <v>33</v>
      </c>
      <c r="B39" s="2" t="s">
        <v>96</v>
      </c>
      <c r="C39" s="3">
        <v>214.35718181818183</v>
      </c>
      <c r="D39" s="3">
        <v>2411.1894594594596</v>
      </c>
      <c r="E39" s="3">
        <v>0.80967741935483872</v>
      </c>
      <c r="F39" s="3">
        <v>9.7714285714285722</v>
      </c>
      <c r="G39" s="3">
        <v>42.274479452054798</v>
      </c>
      <c r="H39" s="3">
        <v>23.790322580645164</v>
      </c>
      <c r="I39" s="3">
        <v>1.9080645161290324</v>
      </c>
      <c r="J39" s="3">
        <v>8.85</v>
      </c>
      <c r="K39" s="3">
        <v>4.8250000000000002</v>
      </c>
      <c r="L39" s="3">
        <v>17.19717012987013</v>
      </c>
      <c r="M39" s="3">
        <v>995.1957142857143</v>
      </c>
      <c r="N39" s="3">
        <v>10.398445132743362</v>
      </c>
      <c r="O39" s="3">
        <v>17.318676923076922</v>
      </c>
      <c r="P39" s="3">
        <v>36.827272727272728</v>
      </c>
      <c r="Q39" s="3">
        <v>7.7384931506849322</v>
      </c>
      <c r="R39" s="3">
        <v>0.61067919750681743</v>
      </c>
      <c r="S39" s="3">
        <v>5.9970297029702966</v>
      </c>
      <c r="T39" s="3">
        <v>6.5361425145597805</v>
      </c>
      <c r="U39" s="3">
        <v>0.19181081081081081</v>
      </c>
      <c r="V39" s="3">
        <v>25.437036175710595</v>
      </c>
      <c r="W39" s="3">
        <v>25.433352507374632</v>
      </c>
      <c r="X39" s="3">
        <v>0.31363636363636366</v>
      </c>
      <c r="Y39" s="3">
        <v>5.7524366471734893</v>
      </c>
      <c r="Z39" s="3">
        <v>84.230468835216215</v>
      </c>
      <c r="AA39" s="3">
        <v>1.8867924528301885</v>
      </c>
      <c r="AB39" s="3">
        <v>0.44214559386973179</v>
      </c>
      <c r="AC39" s="3">
        <v>80.613953488372104</v>
      </c>
      <c r="AD39" s="3">
        <v>0.47894736842105268</v>
      </c>
      <c r="AE39" s="3">
        <v>0.57558139534883723</v>
      </c>
      <c r="AF39" s="3">
        <v>9.0198198198198209</v>
      </c>
      <c r="AG39" s="3">
        <v>3.118908382066277E-2</v>
      </c>
      <c r="AH39" s="3">
        <v>1.7709551656920079</v>
      </c>
      <c r="AI39" s="3">
        <v>3.9130434782608696</v>
      </c>
      <c r="AJ39" s="3">
        <v>520.34</v>
      </c>
      <c r="AK39" s="3">
        <v>0.63181818181818183</v>
      </c>
      <c r="AL39" s="3">
        <v>1.0609090909090908</v>
      </c>
      <c r="AM39" s="3">
        <v>5.84339696143358E-2</v>
      </c>
      <c r="AN39" s="3">
        <v>6.8156249999999998</v>
      </c>
      <c r="AO39" s="3">
        <v>525.23199999999997</v>
      </c>
      <c r="AP39" s="3">
        <v>1.5279999999999998</v>
      </c>
      <c r="AQ39" s="3">
        <v>207.26000000000002</v>
      </c>
      <c r="AR39" s="3">
        <v>107.91999999999999</v>
      </c>
      <c r="AS39" s="3">
        <v>318.70285714285711</v>
      </c>
      <c r="AT39" s="3">
        <v>208.19142857142853</v>
      </c>
      <c r="AU39" s="3">
        <v>3.2387914230019494</v>
      </c>
      <c r="AV39" s="3">
        <v>21.574074074074073</v>
      </c>
      <c r="AW39" s="3">
        <v>0.17251461988304095</v>
      </c>
      <c r="AX39" s="3">
        <v>0.19090909090909092</v>
      </c>
      <c r="AY39" s="3">
        <v>1.2</v>
      </c>
      <c r="AZ39" s="3">
        <v>20.824545454545458</v>
      </c>
      <c r="BA39" s="3">
        <v>2.4817204301075271</v>
      </c>
      <c r="BB39" s="3">
        <v>2.4485714285714284</v>
      </c>
    </row>
    <row r="40" spans="1:54">
      <c r="A40" s="2" t="s">
        <v>34</v>
      </c>
      <c r="B40" s="2" t="s">
        <v>100</v>
      </c>
      <c r="C40" s="3">
        <v>39.357181818181822</v>
      </c>
      <c r="D40" s="3">
        <v>2016.0678378378377</v>
      </c>
      <c r="E40" s="3">
        <v>1.1120967741935484</v>
      </c>
      <c r="F40" s="3">
        <v>11.932142857142857</v>
      </c>
      <c r="G40" s="3">
        <v>26.011465753424659</v>
      </c>
      <c r="H40" s="3">
        <v>42.4491935483871</v>
      </c>
      <c r="I40" s="3">
        <v>1.7330645161290323</v>
      </c>
      <c r="J40" s="3">
        <v>7.3403225806451617</v>
      </c>
      <c r="K40" s="3">
        <v>3.9854838709677418</v>
      </c>
      <c r="L40" s="3">
        <v>15.569897402597404</v>
      </c>
      <c r="M40" s="3">
        <v>706.012857142857</v>
      </c>
      <c r="N40" s="3">
        <v>8.3648168141592922</v>
      </c>
      <c r="O40" s="3">
        <v>10.904574358974358</v>
      </c>
      <c r="P40" s="3">
        <v>30.027272727272727</v>
      </c>
      <c r="Q40" s="3">
        <v>4.2384931506849313</v>
      </c>
      <c r="R40" s="3">
        <v>0.8557123100895988</v>
      </c>
      <c r="S40" s="3">
        <v>4.9910891089108906</v>
      </c>
      <c r="T40" s="3">
        <v>27.962658444672833</v>
      </c>
      <c r="U40" s="3">
        <v>0.2745135135135135</v>
      </c>
      <c r="V40" s="3">
        <v>22.862100775193799</v>
      </c>
      <c r="W40" s="3">
        <v>30.305033923303835</v>
      </c>
      <c r="X40" s="3">
        <v>0.58636363636363642</v>
      </c>
      <c r="Y40" s="3">
        <v>2.528265107212476</v>
      </c>
      <c r="Z40" s="3">
        <v>163.40187514608493</v>
      </c>
      <c r="AA40" s="3">
        <v>2.3584905660377355</v>
      </c>
      <c r="AB40" s="3">
        <v>0.32260536398467432</v>
      </c>
      <c r="AC40" s="3">
        <v>54.704651162790704</v>
      </c>
      <c r="AD40" s="3">
        <v>0.56315789473684208</v>
      </c>
      <c r="AE40" s="3">
        <v>1.5709302325581396</v>
      </c>
      <c r="AF40" s="3">
        <v>8.5252252252252259</v>
      </c>
      <c r="AG40" s="3">
        <v>8.5769980506822621E-2</v>
      </c>
      <c r="AH40" s="3">
        <v>2.0672514619883042</v>
      </c>
      <c r="AI40" s="3">
        <v>7.247826086956521</v>
      </c>
      <c r="AJ40" s="3">
        <v>1088.1224999999999</v>
      </c>
      <c r="AK40" s="3">
        <v>0.6227272727272728</v>
      </c>
      <c r="AL40" s="3">
        <v>0.85727272727272719</v>
      </c>
      <c r="AM40" s="3">
        <v>0.22126996493961826</v>
      </c>
      <c r="AN40" s="3">
        <v>3.9674999999999998</v>
      </c>
      <c r="AO40" s="3">
        <v>366.01499999999999</v>
      </c>
      <c r="AP40" s="3">
        <v>0.80699999999999994</v>
      </c>
      <c r="AQ40" s="3">
        <v>155.52666666666667</v>
      </c>
      <c r="AR40" s="3">
        <v>101.31142857142856</v>
      </c>
      <c r="AS40" s="3">
        <v>320.32571428571424</v>
      </c>
      <c r="AT40" s="3">
        <v>185.09428571428569</v>
      </c>
      <c r="AU40" s="3">
        <v>1.7729044834307994</v>
      </c>
      <c r="AV40" s="3">
        <v>10.621832358674466</v>
      </c>
      <c r="AW40" s="3">
        <v>0.27387914230019494</v>
      </c>
      <c r="AX40" s="3">
        <v>0.11636363636363636</v>
      </c>
      <c r="AY40" s="3">
        <v>1.0727272727272728</v>
      </c>
      <c r="AZ40" s="3">
        <v>21.68090909090909</v>
      </c>
      <c r="BA40" s="3">
        <v>1.9376344086021506</v>
      </c>
      <c r="BB40" s="3">
        <v>0.19142857142857142</v>
      </c>
    </row>
    <row r="41" spans="1:54">
      <c r="A41" s="2" t="s">
        <v>35</v>
      </c>
      <c r="B41" s="2" t="s">
        <v>100</v>
      </c>
      <c r="C41" s="3">
        <v>72.479909090909089</v>
      </c>
      <c r="D41" s="3">
        <v>1963.0921621621621</v>
      </c>
      <c r="E41" s="3">
        <v>1.3088709677419355</v>
      </c>
      <c r="F41" s="3">
        <v>8.1</v>
      </c>
      <c r="G41" s="3">
        <v>21.841602739726032</v>
      </c>
      <c r="H41" s="3">
        <v>46.36774193548387</v>
      </c>
      <c r="I41" s="3">
        <v>4.3701612903225815</v>
      </c>
      <c r="J41" s="3">
        <v>13.641935483870968</v>
      </c>
      <c r="K41" s="3">
        <v>3.1161290322580646</v>
      </c>
      <c r="L41" s="3">
        <v>13.828338961038959</v>
      </c>
      <c r="M41" s="3">
        <v>812.06571428571419</v>
      </c>
      <c r="N41" s="3">
        <v>8.8621619469026545</v>
      </c>
      <c r="O41" s="3">
        <v>9.469958974358974</v>
      </c>
      <c r="P41" s="3">
        <v>32.827272727272728</v>
      </c>
      <c r="Q41" s="3">
        <v>3.7768493150684934</v>
      </c>
      <c r="R41" s="3">
        <v>0.39875866770549284</v>
      </c>
      <c r="S41" s="3">
        <v>5.1970297029702968</v>
      </c>
      <c r="T41" s="3">
        <v>9.1880781089414185</v>
      </c>
      <c r="U41" s="3">
        <v>0.32640540540540541</v>
      </c>
      <c r="V41" s="3">
        <v>34.22514987080104</v>
      </c>
      <c r="W41" s="3">
        <v>22.946626843657818</v>
      </c>
      <c r="X41" s="3">
        <v>1.2454545454545456</v>
      </c>
      <c r="Y41" s="3">
        <v>2.5555555555555554</v>
      </c>
      <c r="Z41" s="3">
        <v>122.70378398909233</v>
      </c>
      <c r="AA41" s="3">
        <v>2.0628930817610063</v>
      </c>
      <c r="AB41" s="3">
        <v>0.20842911877394635</v>
      </c>
      <c r="AC41" s="3">
        <v>49.024418604651167</v>
      </c>
      <c r="AD41" s="3">
        <v>1.0631578947368421</v>
      </c>
      <c r="AE41" s="3">
        <v>0.58720930232558144</v>
      </c>
      <c r="AF41" s="3">
        <v>6.397297297297297</v>
      </c>
      <c r="AG41" s="3">
        <v>6.1403508771929828E-2</v>
      </c>
      <c r="AH41" s="3">
        <v>2.2504873294346979</v>
      </c>
      <c r="AI41" s="3">
        <v>5.6826086956521742</v>
      </c>
      <c r="AJ41" s="3">
        <v>632.83749999999998</v>
      </c>
      <c r="AK41" s="3">
        <v>0.64181818181818173</v>
      </c>
      <c r="AL41" s="3">
        <v>1.2027272727272726</v>
      </c>
      <c r="AM41" s="3">
        <v>0.2835995325282431</v>
      </c>
      <c r="AN41" s="3">
        <v>3.5018749999999996</v>
      </c>
      <c r="AO41" s="3">
        <v>195.80199999999999</v>
      </c>
      <c r="AP41" s="3">
        <v>0.90399999999999991</v>
      </c>
      <c r="AQ41" s="3">
        <v>90.606666666666669</v>
      </c>
      <c r="AR41" s="3">
        <v>76.48571428571428</v>
      </c>
      <c r="AS41" s="3">
        <v>316.11714285714282</v>
      </c>
      <c r="AT41" s="3">
        <v>197.48</v>
      </c>
      <c r="AU41" s="3">
        <v>1.8167641325536064</v>
      </c>
      <c r="AV41" s="3">
        <v>12.568226120857702</v>
      </c>
      <c r="AW41" s="3">
        <v>0.27875243664717353</v>
      </c>
      <c r="AX41" s="3">
        <v>0.15090909090909091</v>
      </c>
      <c r="AY41" s="3">
        <v>1.0727272727272728</v>
      </c>
      <c r="AZ41" s="3">
        <v>25.101818181818182</v>
      </c>
      <c r="BA41" s="3">
        <v>1.7784946236559138</v>
      </c>
      <c r="BB41" s="3">
        <v>0.25142857142857145</v>
      </c>
    </row>
    <row r="42" spans="1:54">
      <c r="A42" s="2" t="s">
        <v>36</v>
      </c>
      <c r="B42" s="2" t="s">
        <v>100</v>
      </c>
      <c r="C42" s="3">
        <v>5.5958181818181822</v>
      </c>
      <c r="D42" s="3">
        <v>1845.9435135135138</v>
      </c>
      <c r="E42" s="3">
        <v>1.0112903225806453</v>
      </c>
      <c r="F42" s="3">
        <v>9.8142857142857132</v>
      </c>
      <c r="G42" s="3">
        <v>13.285438356164383</v>
      </c>
      <c r="H42" s="3">
        <v>48.774999999999999</v>
      </c>
      <c r="I42" s="3">
        <v>14.469354838709677</v>
      </c>
      <c r="J42" s="3">
        <v>8.7298387096774199</v>
      </c>
      <c r="K42" s="3">
        <v>2.9903225806451617</v>
      </c>
      <c r="L42" s="3">
        <v>13.80626103896104</v>
      </c>
      <c r="M42" s="3">
        <v>872.82428571428557</v>
      </c>
      <c r="N42" s="3">
        <v>6.7754362831858401</v>
      </c>
      <c r="O42" s="3">
        <v>9.6981641025641032</v>
      </c>
      <c r="P42" s="3">
        <v>23.509090909090911</v>
      </c>
      <c r="Q42" s="3">
        <v>4.0549315068493152</v>
      </c>
      <c r="R42" s="3">
        <v>0.73105317491234911</v>
      </c>
      <c r="S42" s="3">
        <v>5.0940594059405937</v>
      </c>
      <c r="T42" s="3">
        <v>25.36108256252141</v>
      </c>
      <c r="U42" s="3">
        <v>0.3193783783783784</v>
      </c>
      <c r="V42" s="3">
        <v>26.319465116279069</v>
      </c>
      <c r="W42" s="3">
        <v>12.611818584070795</v>
      </c>
      <c r="X42" s="3">
        <v>0.48181818181818187</v>
      </c>
      <c r="Y42" s="3">
        <v>3.8245614035087723</v>
      </c>
      <c r="Z42" s="3">
        <v>112.7626075185041</v>
      </c>
      <c r="AA42" s="3">
        <v>1.9874213836477987</v>
      </c>
      <c r="AB42" s="3">
        <v>0.26283524904214556</v>
      </c>
      <c r="AC42" s="3">
        <v>72.618604651162798</v>
      </c>
      <c r="AD42" s="3">
        <v>0.62631578947368427</v>
      </c>
      <c r="AE42" s="3">
        <v>0.85000000000000009</v>
      </c>
      <c r="AF42" s="3">
        <v>10.298198198198198</v>
      </c>
      <c r="AG42" s="3">
        <v>5.1656920077972714E-2</v>
      </c>
      <c r="AH42" s="3">
        <v>3.3118908382066277</v>
      </c>
      <c r="AI42" s="3">
        <v>6.2739130434782613</v>
      </c>
      <c r="AJ42" s="3">
        <v>716.0575</v>
      </c>
      <c r="AK42" s="3">
        <v>1.0254545454545454</v>
      </c>
      <c r="AL42" s="3">
        <v>1.990909090909091</v>
      </c>
      <c r="AM42" s="3">
        <v>0.26490066225165565</v>
      </c>
      <c r="AN42" s="3">
        <v>4.3043750000000003</v>
      </c>
      <c r="AO42" s="3">
        <v>355.16800000000001</v>
      </c>
      <c r="AP42" s="3">
        <v>0.89300000000000002</v>
      </c>
      <c r="AQ42" s="3">
        <v>132.77333333333334</v>
      </c>
      <c r="AR42" s="3">
        <v>111.07428571428571</v>
      </c>
      <c r="AS42" s="3">
        <v>314.79142857142853</v>
      </c>
      <c r="AT42" s="3">
        <v>228.69142857142859</v>
      </c>
      <c r="AU42" s="3">
        <v>3.3177387914230017</v>
      </c>
      <c r="AV42" s="3">
        <v>20.921052631578949</v>
      </c>
      <c r="AW42" s="3">
        <v>0.21637426900584797</v>
      </c>
      <c r="AX42" s="3">
        <v>0.2181818181818182</v>
      </c>
      <c r="AY42" s="3">
        <v>1.3818181818181818</v>
      </c>
      <c r="AZ42" s="3">
        <v>22.15909090909091</v>
      </c>
      <c r="BA42" s="3">
        <v>1.4322580645161291</v>
      </c>
      <c r="BB42" s="3">
        <v>0.37999999999999995</v>
      </c>
    </row>
    <row r="43" spans="1:54">
      <c r="A43" s="2" t="s">
        <v>37</v>
      </c>
      <c r="B43" s="2" t="s">
        <v>100</v>
      </c>
      <c r="C43" s="3">
        <v>193.97990909090908</v>
      </c>
      <c r="D43" s="3">
        <v>2089.5272972972971</v>
      </c>
      <c r="E43" s="3">
        <v>2.9024193548387096</v>
      </c>
      <c r="F43" s="3">
        <v>11.082142857142857</v>
      </c>
      <c r="G43" s="3">
        <v>15.833383561643835</v>
      </c>
      <c r="H43" s="3">
        <v>60.634677419354837</v>
      </c>
      <c r="I43" s="3">
        <v>21.81048387096774</v>
      </c>
      <c r="J43" s="3">
        <v>6.9854838709677418</v>
      </c>
      <c r="K43" s="3">
        <v>5.1766129032258066</v>
      </c>
      <c r="L43" s="3">
        <v>13.804962337662337</v>
      </c>
      <c r="M43" s="3">
        <v>836.09571428571417</v>
      </c>
      <c r="N43" s="3">
        <v>18.793135398230088</v>
      </c>
      <c r="O43" s="3">
        <v>9.4840615384615372</v>
      </c>
      <c r="P43" s="3">
        <v>31.290909090909093</v>
      </c>
      <c r="Q43" s="3">
        <v>4.4645205479452059</v>
      </c>
      <c r="R43" s="3">
        <v>0.49459037787300347</v>
      </c>
      <c r="S43" s="3">
        <v>6.9099009900990094</v>
      </c>
      <c r="T43" s="3">
        <v>5.5912983898595412</v>
      </c>
      <c r="U43" s="3">
        <v>0.32910810810810809</v>
      </c>
      <c r="V43" s="3">
        <v>36.262617571059437</v>
      </c>
      <c r="W43" s="3">
        <v>18.73718731563422</v>
      </c>
      <c r="X43" s="3">
        <v>1.1227272727272728</v>
      </c>
      <c r="Y43" s="3">
        <v>3.7446393762183234</v>
      </c>
      <c r="Z43" s="3">
        <v>114.7115751850409</v>
      </c>
      <c r="AA43" s="3">
        <v>1.742138364779874</v>
      </c>
      <c r="AB43" s="3">
        <v>0.27547892720306516</v>
      </c>
      <c r="AC43" s="3">
        <v>122.95813953488374</v>
      </c>
      <c r="AD43" s="3">
        <v>1.8473684210526315</v>
      </c>
      <c r="AE43" s="3">
        <v>0.38023255813953494</v>
      </c>
      <c r="AF43" s="3">
        <v>6.5144144144144143</v>
      </c>
      <c r="AG43" s="3">
        <v>3.606237816764133E-2</v>
      </c>
      <c r="AH43" s="3">
        <v>3.9415204678362574</v>
      </c>
      <c r="AI43" s="3">
        <v>6.2608695652173907</v>
      </c>
      <c r="AJ43" s="3">
        <v>534.40750000000003</v>
      </c>
      <c r="AK43" s="3">
        <v>0.95818181818181813</v>
      </c>
      <c r="AL43" s="3">
        <v>1.6009090909090911</v>
      </c>
      <c r="AM43" s="3">
        <v>0.23451499805220102</v>
      </c>
      <c r="AN43" s="3">
        <v>4.7406250000000005</v>
      </c>
      <c r="AO43" s="3">
        <v>334.36799999999994</v>
      </c>
      <c r="AP43" s="3">
        <v>0.76700000000000002</v>
      </c>
      <c r="AQ43" s="3">
        <v>90.74</v>
      </c>
      <c r="AR43" s="3">
        <v>66.888571428571424</v>
      </c>
      <c r="AS43" s="3">
        <v>325.30571428571426</v>
      </c>
      <c r="AT43" s="3">
        <v>217.09142857142857</v>
      </c>
      <c r="AU43" s="3">
        <v>2.6608187134502925</v>
      </c>
      <c r="AV43" s="3">
        <v>14.83430799220273</v>
      </c>
      <c r="AW43" s="3">
        <v>0.22807017543859651</v>
      </c>
      <c r="AX43" s="3">
        <v>0.22999999999999998</v>
      </c>
      <c r="AY43" s="3">
        <v>1.0909090909090911</v>
      </c>
      <c r="AZ43" s="3">
        <v>30.87</v>
      </c>
      <c r="BA43" s="3">
        <v>1.6043010752688172</v>
      </c>
      <c r="BB43" s="3">
        <v>0.37714285714285711</v>
      </c>
    </row>
    <row r="44" spans="1:54">
      <c r="A44" s="2" t="s">
        <v>38</v>
      </c>
      <c r="B44" s="2" t="s">
        <v>101</v>
      </c>
      <c r="C44" s="3">
        <v>8.4594545454545464</v>
      </c>
      <c r="D44" s="3">
        <v>1643.7732432432433</v>
      </c>
      <c r="E44" s="3">
        <v>1.9911290322580646</v>
      </c>
      <c r="F44" s="3">
        <v>14.889285714285714</v>
      </c>
      <c r="G44" s="3">
        <v>46.552561643835617</v>
      </c>
      <c r="H44" s="3">
        <v>3.7120967741935482</v>
      </c>
      <c r="I44" s="3">
        <v>3.9</v>
      </c>
      <c r="J44" s="3">
        <v>9.0467741935483872</v>
      </c>
      <c r="K44" s="3">
        <v>3.620161290322581</v>
      </c>
      <c r="L44" s="3">
        <v>4.6919753246753251</v>
      </c>
      <c r="M44" s="3">
        <v>974.32714285714269</v>
      </c>
      <c r="N44" s="3">
        <v>11.853312389380529</v>
      </c>
      <c r="O44" s="3">
        <v>2.0366256410256414</v>
      </c>
      <c r="P44" s="3">
        <v>40.127272727272732</v>
      </c>
      <c r="Q44" s="3">
        <v>0.94123287671232891</v>
      </c>
      <c r="R44" s="3">
        <v>4.0049137125048695</v>
      </c>
      <c r="S44" s="3">
        <v>9.5465346534653452</v>
      </c>
      <c r="T44" s="3">
        <v>33.058239122987324</v>
      </c>
      <c r="U44" s="3">
        <v>0.35667567567567565</v>
      </c>
      <c r="V44" s="3">
        <v>46.393108527131787</v>
      </c>
      <c r="W44" s="3">
        <v>95.582320058997055</v>
      </c>
      <c r="X44" s="3">
        <v>1.0909090909090911</v>
      </c>
      <c r="Y44" s="3">
        <v>4.405458089668616</v>
      </c>
      <c r="Z44" s="3">
        <v>109.38785099337748</v>
      </c>
      <c r="AA44" s="3">
        <v>2.0943396226415096</v>
      </c>
      <c r="AB44" s="3">
        <v>1.682758620689655</v>
      </c>
      <c r="AC44" s="3">
        <v>79.412790697674424</v>
      </c>
      <c r="AD44" s="3">
        <v>0.7</v>
      </c>
      <c r="AE44" s="3">
        <v>1.7383720930232558</v>
      </c>
      <c r="AF44" s="3">
        <v>2.4747747747747746</v>
      </c>
      <c r="AG44" s="3">
        <v>9.9415204678362581E-2</v>
      </c>
      <c r="AH44" s="3">
        <v>4.4571150097465884</v>
      </c>
      <c r="AI44" s="3">
        <v>4.7086956521739127</v>
      </c>
      <c r="AJ44" s="3">
        <v>627.58749999999998</v>
      </c>
      <c r="AK44" s="3">
        <v>1.1754545454545455</v>
      </c>
      <c r="AL44" s="3">
        <v>4.3809090909090909</v>
      </c>
      <c r="AM44" s="3">
        <v>0.21231008959875342</v>
      </c>
      <c r="AN44" s="3">
        <v>13.703125</v>
      </c>
      <c r="AO44" s="3">
        <v>319.29399999999998</v>
      </c>
      <c r="AP44" s="3">
        <v>0.60299999999999998</v>
      </c>
      <c r="AQ44" s="3">
        <v>78.493333333333339</v>
      </c>
      <c r="AR44" s="3">
        <v>68.594285714285704</v>
      </c>
      <c r="AS44" s="3">
        <v>282.19428571428568</v>
      </c>
      <c r="AT44" s="3">
        <v>207.29428571428571</v>
      </c>
      <c r="AU44" s="3">
        <v>2.8177387914230021</v>
      </c>
      <c r="AV44" s="3">
        <v>18.560428849902536</v>
      </c>
      <c r="AW44" s="3">
        <v>0.14035087719298245</v>
      </c>
      <c r="AX44" s="3">
        <v>0.37090909090909091</v>
      </c>
      <c r="AY44" s="3">
        <v>1.4363636363636365</v>
      </c>
      <c r="AZ44" s="3">
        <v>64.835454545454539</v>
      </c>
      <c r="BA44" s="3">
        <v>2.0268817204301075</v>
      </c>
      <c r="BB44" s="3">
        <v>0.72</v>
      </c>
    </row>
    <row r="45" spans="1:54">
      <c r="A45" s="2" t="s">
        <v>39</v>
      </c>
      <c r="B45" s="2" t="s">
        <v>103</v>
      </c>
      <c r="C45" s="3">
        <v>104.45718181818182</v>
      </c>
      <c r="D45" s="3">
        <v>2312.9354054054052</v>
      </c>
      <c r="E45" s="3">
        <v>0.75887096774193552</v>
      </c>
      <c r="F45" s="3">
        <v>7.5964285714285715</v>
      </c>
      <c r="G45" s="3">
        <v>21.421054794520551</v>
      </c>
      <c r="H45" s="3">
        <v>30.45</v>
      </c>
      <c r="I45" s="3">
        <v>38.328225806451613</v>
      </c>
      <c r="J45" s="3">
        <v>4.5153225806451607</v>
      </c>
      <c r="K45" s="3">
        <v>2.4532258064516133</v>
      </c>
      <c r="L45" s="3">
        <v>15.832235064935066</v>
      </c>
      <c r="M45" s="3">
        <v>738.39142857142838</v>
      </c>
      <c r="N45" s="3">
        <v>5.5179141592920349</v>
      </c>
      <c r="O45" s="3">
        <v>13.440471794871794</v>
      </c>
      <c r="P45" s="3">
        <v>43.81818181818182</v>
      </c>
      <c r="Q45" s="3">
        <v>3.4604109589041103</v>
      </c>
      <c r="R45" s="3">
        <v>0.50160245422672389</v>
      </c>
      <c r="S45" s="3">
        <v>5.996039603960396</v>
      </c>
      <c r="T45" s="3">
        <v>12.767043508050703</v>
      </c>
      <c r="U45" s="3">
        <v>0.21127027027027026</v>
      </c>
      <c r="V45" s="3">
        <v>34.185098191214472</v>
      </c>
      <c r="W45" s="3">
        <v>10.060196165191741</v>
      </c>
      <c r="X45" s="3">
        <v>2.2045454545454546</v>
      </c>
      <c r="Y45" s="3">
        <v>3.8157894736842106</v>
      </c>
      <c r="Z45" s="3">
        <v>160.55419302687966</v>
      </c>
      <c r="AA45" s="3">
        <v>2.5723270440251569</v>
      </c>
      <c r="AB45" s="3">
        <v>0.28888888888888886</v>
      </c>
      <c r="AC45" s="3">
        <v>54.156976744186046</v>
      </c>
      <c r="AD45" s="3">
        <v>3.3894736842105262</v>
      </c>
      <c r="AE45" s="3">
        <v>0.40697674418604657</v>
      </c>
      <c r="AF45" s="3">
        <v>21.353153153153155</v>
      </c>
      <c r="AG45" s="3">
        <v>8.3820662768031198E-2</v>
      </c>
      <c r="AH45" s="3">
        <v>2.7914230019493176</v>
      </c>
      <c r="AI45" s="3">
        <v>9.465217391304348</v>
      </c>
      <c r="AJ45" s="3">
        <v>1044.0025000000001</v>
      </c>
      <c r="AK45" s="3">
        <v>0.81727272727272726</v>
      </c>
      <c r="AL45" s="3">
        <v>1.6600000000000001</v>
      </c>
      <c r="AM45" s="3">
        <v>0.30736268017140633</v>
      </c>
      <c r="AN45" s="3">
        <v>5.4906250000000005</v>
      </c>
      <c r="AO45" s="3">
        <v>353.40699999999998</v>
      </c>
      <c r="AP45" s="3">
        <v>1.504</v>
      </c>
      <c r="AQ45" s="3">
        <v>228.55333333333334</v>
      </c>
      <c r="AR45" s="3">
        <v>181.79714285714283</v>
      </c>
      <c r="AS45" s="3">
        <v>315.09714285714284</v>
      </c>
      <c r="AT45" s="3">
        <v>250.75142857142856</v>
      </c>
      <c r="AU45" s="3">
        <v>2.831384015594542</v>
      </c>
      <c r="AV45" s="3">
        <v>32.730019493177387</v>
      </c>
      <c r="AW45" s="3">
        <v>1.2222222222222223</v>
      </c>
      <c r="AX45" s="3">
        <v>0.23636363636363636</v>
      </c>
      <c r="AY45" s="3">
        <v>1.1181818181818182</v>
      </c>
      <c r="AZ45" s="3">
        <v>25.463636363636365</v>
      </c>
      <c r="BA45" s="3">
        <v>2.1</v>
      </c>
      <c r="BB45" s="3">
        <v>0.48857142857142855</v>
      </c>
    </row>
  </sheetData>
  <conditionalFormatting sqref="B3:B45">
    <cfRule type="uniqueValues" dxfId="1" priority="7"/>
    <cfRule type="duplicateValues" dxfId="0" priority="8"/>
  </conditionalFormatting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CSF_GCMS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del Pino</dc:creator>
  <cp:lastModifiedBy>Alfonso Oyarzábal</cp:lastModifiedBy>
  <dcterms:created xsi:type="dcterms:W3CDTF">2021-12-17T10:40:40Z</dcterms:created>
  <dcterms:modified xsi:type="dcterms:W3CDTF">2021-12-27T08:42:26Z</dcterms:modified>
</cp:coreProperties>
</file>