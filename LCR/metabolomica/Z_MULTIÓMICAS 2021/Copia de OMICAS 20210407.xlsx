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322"/>
  <workbookPr autoCompressPictures="0"/>
  <bookViews>
    <workbookView xWindow="1260" yWindow="920" windowWidth="25600" windowHeight="16060" activeTab="1"/>
  </bookViews>
  <sheets>
    <sheet name="Actividades" sheetId="2" r:id="rId1"/>
    <sheet name="Pacientes" sheetId="1" r:id="rId2"/>
  </sheets>
  <definedNames>
    <definedName name="_xlnm._FilterDatabase" localSheetId="1" hidden="1">Pacientes!$A$5:$J$113</definedName>
  </definedNames>
  <calcPr calcId="140001" concurrentCalc="0"/>
  <extLst>
    <ext xmlns:mx="http://schemas.microsoft.com/office/mac/excel/2008/main" uri="{7523E5D3-25F3-A5E0-1632-64F254C22452}">
      <mx:ArchID Flags="2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2" i="1" l="1"/>
  <c r="H91" i="1"/>
  <c r="H93" i="1"/>
  <c r="H102" i="1"/>
  <c r="H113" i="1"/>
  <c r="H111" i="1"/>
  <c r="H109" i="1"/>
  <c r="H108" i="1"/>
  <c r="H106" i="1"/>
  <c r="H105" i="1"/>
  <c r="H103" i="1"/>
  <c r="H104" i="1"/>
  <c r="H101" i="1"/>
  <c r="H100" i="1"/>
  <c r="H30" i="1"/>
  <c r="H99" i="1"/>
  <c r="H97" i="1"/>
  <c r="H96" i="1"/>
  <c r="H14" i="1"/>
  <c r="H13" i="1"/>
  <c r="H88" i="1"/>
  <c r="H94" i="1"/>
  <c r="H90" i="1"/>
  <c r="H81" i="1"/>
  <c r="H82" i="1"/>
  <c r="H83" i="1"/>
  <c r="H84" i="1"/>
  <c r="H85" i="1"/>
  <c r="H86" i="1"/>
  <c r="H87" i="1"/>
  <c r="H80" i="1"/>
  <c r="H70" i="1"/>
  <c r="H71" i="1"/>
  <c r="H72" i="1"/>
  <c r="H73" i="1"/>
  <c r="H74" i="1"/>
  <c r="H75" i="1"/>
  <c r="H76" i="1"/>
  <c r="H77" i="1"/>
  <c r="H78" i="1"/>
  <c r="H79" i="1"/>
  <c r="H69" i="1"/>
  <c r="H16" i="1"/>
  <c r="H17" i="1"/>
  <c r="H19" i="1"/>
  <c r="H20" i="1"/>
  <c r="H21" i="1"/>
  <c r="H22" i="1"/>
  <c r="H24" i="1"/>
  <c r="H25" i="1"/>
  <c r="H26" i="1"/>
  <c r="H27" i="1"/>
  <c r="H28" i="1"/>
  <c r="H29" i="1"/>
  <c r="H32" i="1"/>
  <c r="H33" i="1"/>
  <c r="H34" i="1"/>
  <c r="H35" i="1"/>
  <c r="H37" i="1"/>
  <c r="H38" i="1"/>
  <c r="H39" i="1"/>
  <c r="H40" i="1"/>
  <c r="H42" i="1"/>
  <c r="H43" i="1"/>
  <c r="H44" i="1"/>
  <c r="H46" i="1"/>
  <c r="H48" i="1"/>
  <c r="H49" i="1"/>
  <c r="H50" i="1"/>
  <c r="H52" i="1"/>
  <c r="H53" i="1"/>
  <c r="H54" i="1"/>
  <c r="H55" i="1"/>
  <c r="H56" i="1"/>
  <c r="H57" i="1"/>
  <c r="H58" i="1"/>
  <c r="H59" i="1"/>
  <c r="H60" i="1"/>
  <c r="H61" i="1"/>
  <c r="H63" i="1"/>
  <c r="H64" i="1"/>
  <c r="H65" i="1"/>
  <c r="H67" i="1"/>
  <c r="H7" i="1"/>
  <c r="H8" i="1"/>
  <c r="H9" i="1"/>
  <c r="H10" i="1"/>
  <c r="H11" i="1"/>
  <c r="H12" i="1"/>
  <c r="H6" i="1"/>
</calcChain>
</file>

<file path=xl/sharedStrings.xml><?xml version="1.0" encoding="utf-8"?>
<sst xmlns="http://schemas.openxmlformats.org/spreadsheetml/2006/main" count="1372" uniqueCount="748">
  <si>
    <t>CAJA</t>
  </si>
  <si>
    <t>Código estudio</t>
  </si>
  <si>
    <t>P1</t>
  </si>
  <si>
    <t>BRANDER SILVA SILVA ARRIETA, PAULA CAROLINA</t>
  </si>
  <si>
    <t>001/1.035.0008</t>
  </si>
  <si>
    <t>001/8.040.0608</t>
  </si>
  <si>
    <t>P2</t>
  </si>
  <si>
    <t>LABRANDERO PALACIOS, ASHTON JULIO</t>
  </si>
  <si>
    <t>001/9.242.0381</t>
  </si>
  <si>
    <t>P3</t>
  </si>
  <si>
    <t>GRIN1</t>
  </si>
  <si>
    <t>GIL MORAL, INES</t>
  </si>
  <si>
    <t>901/3.051.9317</t>
  </si>
  <si>
    <t>P4</t>
  </si>
  <si>
    <t>PRADAS TORRAS, OLIVIA</t>
  </si>
  <si>
    <t>001/6.197.0116</t>
  </si>
  <si>
    <t>P5</t>
  </si>
  <si>
    <t>CAU MAS, LUCIA</t>
  </si>
  <si>
    <t>001/4.210.0672</t>
  </si>
  <si>
    <t>PBS</t>
  </si>
  <si>
    <t>ALP</t>
  </si>
  <si>
    <t>LCM</t>
  </si>
  <si>
    <t>OPT</t>
  </si>
  <si>
    <t>IGM</t>
  </si>
  <si>
    <t>F</t>
  </si>
  <si>
    <t>001/0.052.0541</t>
  </si>
  <si>
    <t xml:space="preserve">CANTOS ARENCON, IZAN </t>
  </si>
  <si>
    <t>MM</t>
  </si>
  <si>
    <t>M</t>
  </si>
  <si>
    <t>P6</t>
  </si>
  <si>
    <t>P7</t>
  </si>
  <si>
    <t>GRIN1
c.1705C&gt;T; p.Arg569Trp</t>
  </si>
  <si>
    <t>Yes</t>
  </si>
  <si>
    <t>D</t>
  </si>
  <si>
    <t>A</t>
  </si>
  <si>
    <t>Disease</t>
  </si>
  <si>
    <t>Mutation</t>
  </si>
  <si>
    <t>Phenotype</t>
  </si>
  <si>
    <t>Date of birth</t>
  </si>
  <si>
    <t>Sex</t>
  </si>
  <si>
    <t xml:space="preserve">Actual condition
 (A:Alive; D:Death) </t>
  </si>
  <si>
    <t>Name</t>
  </si>
  <si>
    <t>Initials</t>
  </si>
  <si>
    <t>Levetiracetam</t>
  </si>
  <si>
    <t>Guanfacine, Melatonin</t>
  </si>
  <si>
    <t>t(1;12)(p13.3;p13.1) (VAV3;GRIN2B)</t>
  </si>
  <si>
    <t>Autism,  Moderate intellectual disability</t>
  </si>
  <si>
    <t>No</t>
  </si>
  <si>
    <t>Encephalopathy Rett-Like</t>
  </si>
  <si>
    <t>GRIN1 
c.1921G&gt;C p.Gly641Arg</t>
  </si>
  <si>
    <t>Unknown</t>
  </si>
  <si>
    <t>GRIN2B
p.Arg696His/c.2087G&gt;A</t>
  </si>
  <si>
    <t>Early Infantile Epileptic Encephalopathy,  Severe intellectual disability</t>
  </si>
  <si>
    <t>Early Infantile Epileptic Encephalopathy, Spasticity,  Severe intellectual disability</t>
  </si>
  <si>
    <t>Encephalopathy Rett-Like, Severe intellectual disability</t>
  </si>
  <si>
    <t>GRIN2B 
P553T</t>
  </si>
  <si>
    <t>Rett-like syndrome with severe encephalopathy</t>
  </si>
  <si>
    <t>Levopromazine, carbamazepine, melatonin, L-Serine</t>
  </si>
  <si>
    <t>001/8.047.0573</t>
  </si>
  <si>
    <t>MAMROUCHE  MANAR</t>
  </si>
  <si>
    <t>FAHN</t>
  </si>
  <si>
    <t>Progressive ataxia</t>
  </si>
  <si>
    <t>001/8.047.0572</t>
  </si>
  <si>
    <t>MAMROUCHE  MARIAM</t>
  </si>
  <si>
    <t>001/8.150.0602</t>
  </si>
  <si>
    <t>DOS ANJOS DOS ANJOS KATIA</t>
  </si>
  <si>
    <t>BSCL2-Related disorder</t>
  </si>
  <si>
    <t>BSCL2: c.1088T&gt;C; p.L363P Homozygous</t>
  </si>
  <si>
    <t>Epileptic encephalopathy</t>
  </si>
  <si>
    <t>001/8.031.0524</t>
  </si>
  <si>
    <t>CARVAJALINO CHAMORRO, MILTON ANDRES</t>
  </si>
  <si>
    <t>BSCL2: c.1343C&gt;T;p.Pro448Leu Heterozygous</t>
  </si>
  <si>
    <t>Complex paraparesis</t>
  </si>
  <si>
    <t>001/3.113.0510</t>
  </si>
  <si>
    <t>VALERO LAHOZ, TAO</t>
  </si>
  <si>
    <t>BSCL2: c.374T&gt;A; p. Met125Lys  Heterozygous</t>
  </si>
  <si>
    <t>Intelectual disability, epilepsy</t>
  </si>
  <si>
    <t>001/3.184.0901</t>
  </si>
  <si>
    <t>VALERO LAHOZ, MAR</t>
  </si>
  <si>
    <t>901/6.020.8263</t>
  </si>
  <si>
    <t>Syntaxin encephalopathy</t>
  </si>
  <si>
    <t>STXBP1</t>
  </si>
  <si>
    <t>001/6.193.0568</t>
  </si>
  <si>
    <t>GUTIERREZ CUADRADO, ELSA</t>
  </si>
  <si>
    <t>901/6.102.3311</t>
  </si>
  <si>
    <t>CAÑELLAS OKON, JORDI</t>
  </si>
  <si>
    <t>001/9.347.0438</t>
  </si>
  <si>
    <t>BUDIA SALVADOR, ANNA</t>
  </si>
  <si>
    <t>911/7.032.8301</t>
  </si>
  <si>
    <t>BAENA MORALES, CARLOS</t>
  </si>
  <si>
    <t>NUÑEZ TEJEDA, SANDRA</t>
  </si>
  <si>
    <t>TANGO2</t>
  </si>
  <si>
    <t>BASTO CARBALLO, AMBAR QUERALT</t>
  </si>
  <si>
    <t xml:space="preserve">BASTO CARBALLO, ALISSON KEITTY
</t>
  </si>
  <si>
    <t>CASTILLO ROCA, VALENTINA</t>
  </si>
  <si>
    <t>001/7.319.0505</t>
  </si>
  <si>
    <t xml:space="preserve">RIVAS GOMEZ, EDUVIMAR   </t>
  </si>
  <si>
    <t>001/9.171.0414</t>
  </si>
  <si>
    <t>ALTESA PARDO, NIL</t>
  </si>
  <si>
    <t>001/9.198.0478</t>
  </si>
  <si>
    <t>GARCIA GARCIA, YERAY</t>
  </si>
  <si>
    <t>001/8.330.0653</t>
  </si>
  <si>
    <t>MORALES ASTASIO, OLEGUER</t>
  </si>
  <si>
    <t>GRIN-related pediatric encephalopathy</t>
  </si>
  <si>
    <t>Fatty Acid Hydroxylase-associated Neurodegeneration</t>
  </si>
  <si>
    <t>FA2H
c.678G&gt;A p.Trp226Ter</t>
  </si>
  <si>
    <t>MM1</t>
  </si>
  <si>
    <t>Date of lumbar puncture</t>
  </si>
  <si>
    <t>Seipinopatías - BSCL2</t>
  </si>
  <si>
    <t>KDD</t>
  </si>
  <si>
    <t>MCC</t>
  </si>
  <si>
    <t>TVL</t>
  </si>
  <si>
    <t>MVL</t>
  </si>
  <si>
    <t>Levetiracetam, vigabatrin</t>
  </si>
  <si>
    <t>Valproic, Phenobarbital, Ethosuximide</t>
  </si>
  <si>
    <t>Valproic</t>
  </si>
  <si>
    <t>ORDOÑEZ SANCHEZ, ANAIS</t>
  </si>
  <si>
    <t>AOS</t>
  </si>
  <si>
    <t>STXBP1
c.1216C&gt;T; p.Arg406Cys</t>
  </si>
  <si>
    <t>P16</t>
  </si>
  <si>
    <t>P17</t>
  </si>
  <si>
    <t>P18</t>
  </si>
  <si>
    <t>Medications at time of lumbar puncture</t>
  </si>
  <si>
    <t>Epilepsy</t>
  </si>
  <si>
    <t>EGC</t>
  </si>
  <si>
    <t>STXBP1
c.124_126delTCC
p.Ser42del</t>
  </si>
  <si>
    <t>Epileptic encephalopathy, Ataxia</t>
  </si>
  <si>
    <t>JCO</t>
  </si>
  <si>
    <t>STXPB1
p.Met602Val/ c.1804A&gt;G</t>
  </si>
  <si>
    <t>Levetiracetam, valproic acid, carbamazepine</t>
  </si>
  <si>
    <t>ABS</t>
  </si>
  <si>
    <t>CBM</t>
  </si>
  <si>
    <t>STXBP1
p.Ile55Lys/c.164T&gt;A</t>
  </si>
  <si>
    <t>Severe intellectual disability</t>
  </si>
  <si>
    <t>Epileptic encephalopathy, spasticity</t>
  </si>
  <si>
    <t>STXBP1
c.87+1G&gt;T</t>
  </si>
  <si>
    <t>Carbamazepina, valproic acid, clobazam</t>
  </si>
  <si>
    <t>SNT</t>
  </si>
  <si>
    <t>ABC</t>
  </si>
  <si>
    <t>VCR</t>
  </si>
  <si>
    <t>ERG</t>
  </si>
  <si>
    <t>NAP</t>
  </si>
  <si>
    <t>YGG</t>
  </si>
  <si>
    <t>OMA</t>
  </si>
  <si>
    <t>P19</t>
  </si>
  <si>
    <t>P20</t>
  </si>
  <si>
    <t>P21</t>
  </si>
  <si>
    <t>P22</t>
  </si>
  <si>
    <t>P23</t>
  </si>
  <si>
    <t>P24</t>
  </si>
  <si>
    <t>P25</t>
  </si>
  <si>
    <t>P26</t>
  </si>
  <si>
    <t>Deletion that encompasses exons 3–9 of TANGO2</t>
  </si>
  <si>
    <t>Metabolic encephalomyopathic crises, recurrent, with rhabdomyolysis, cardiac arrhythmias, and moderate intelectual disability</t>
  </si>
  <si>
    <t>TANGO2 encephalopathy</t>
  </si>
  <si>
    <t>Epileptic encephalopathy, Metabolic encephalomyopathic crises, recurrent, with rhabdomyolysis, cardiac arrhythmias, and severe intelectual disability</t>
  </si>
  <si>
    <t>Moderate intelectual disability,  Long QTc interva</t>
  </si>
  <si>
    <t>Deletion that encompasses exons 3–9 of TANGO2 + TANGO2 c.379C&gt;T p.(Arg127*)</t>
  </si>
  <si>
    <t>Deletion that encompasses exons 3–9 of TANGO2. Homozygous</t>
  </si>
  <si>
    <t>Single mitochondrial DNA deletions</t>
  </si>
  <si>
    <t xml:space="preserve">Kearns-Sayre Syndrome </t>
  </si>
  <si>
    <t>Chronic progressive external ophthalmoplegia with myopathy, pigmentary degeneration of retina,ataxia</t>
  </si>
  <si>
    <t>Myopathy, pigmentary degeneration of retina,ataxia, Exocrine pancreatic dysfunction</t>
  </si>
  <si>
    <t>Refractory sideroblastic anemia, Vacuolization of marrow precursors, neutropenia, Low weight</t>
  </si>
  <si>
    <t>PEARSON MARROW-PANCREAS SYNDROME</t>
  </si>
  <si>
    <t xml:space="preserve"> Exocrine pancreatic dysfunction, ataxia, Low weight</t>
  </si>
  <si>
    <t>Kearns-Sayre/Pearson</t>
  </si>
  <si>
    <t>TRAPPC11</t>
  </si>
  <si>
    <t>P27</t>
  </si>
  <si>
    <t>P28</t>
  </si>
  <si>
    <t>GABARRI VARGAS, BERNARDO</t>
  </si>
  <si>
    <t>001/6.365.0439</t>
  </si>
  <si>
    <t>001/6.359.0223</t>
  </si>
  <si>
    <t>BGV</t>
  </si>
  <si>
    <t>901/6.020.8496</t>
  </si>
  <si>
    <t>P29</t>
  </si>
  <si>
    <t>SORAYA NAVARRO BUÑALES</t>
  </si>
  <si>
    <t>SNB</t>
  </si>
  <si>
    <t>Synaptopathy</t>
  </si>
  <si>
    <t>Encephalopathy, severe intellectual disability, Choreiform movements, epilepsy, Increased serum creatine kinase, congenital progressive microcephaly</t>
  </si>
  <si>
    <t>Muscular dystrophy,  Choreiform movement, Regression, congenital progressive microcephaly</t>
  </si>
  <si>
    <t>TELO2</t>
  </si>
  <si>
    <t>P30</t>
  </si>
  <si>
    <t>MONTEYS DA SILVA, ALICE</t>
  </si>
  <si>
    <t>001/6.334.0522</t>
  </si>
  <si>
    <t>AMD</t>
  </si>
  <si>
    <t>Encephalopathy, cataracts, epilepsy</t>
  </si>
  <si>
    <t>TELO2
c.1100G&gt;T; p.Cys367Phe
c.1216G&gt;A;p.G406S</t>
  </si>
  <si>
    <t>FOLR1</t>
  </si>
  <si>
    <t>P31</t>
  </si>
  <si>
    <t>001/8.040.0535</t>
  </si>
  <si>
    <t>TRAWALLY, FATIMATA</t>
  </si>
  <si>
    <t>FT</t>
  </si>
  <si>
    <t>FOLR1
p.Cys105Arg/c.313T&gt;C</t>
  </si>
  <si>
    <t>Severe intellectual disability, Motor dysfunction, Choreiform movement</t>
  </si>
  <si>
    <t>Neurodevelopmental encephalopathy, epilepsy</t>
  </si>
  <si>
    <t>Neurodegeneration due to cerebral folate transport deficiency</t>
  </si>
  <si>
    <t>TRAWALLY TRAWALLY, SEKU</t>
  </si>
  <si>
    <t>STT</t>
  </si>
  <si>
    <t>001/8.040.0538</t>
  </si>
  <si>
    <t>901/4.052.1228</t>
  </si>
  <si>
    <t>P34</t>
  </si>
  <si>
    <t>CHEMLAL BELAKBIR, BASMA</t>
  </si>
  <si>
    <t>BCM</t>
  </si>
  <si>
    <t>911/8.072.3171</t>
  </si>
  <si>
    <t>Epileptic encephalopathy,  severe intellectual disability</t>
  </si>
  <si>
    <t>CDKL5-Epileptic encephalopathy</t>
  </si>
  <si>
    <t>SANTOS LOPEZ, AZAHARA</t>
  </si>
  <si>
    <t>001/2.230.0302</t>
  </si>
  <si>
    <t>HIGUCHI, KOTA</t>
  </si>
  <si>
    <t>001/0.335.0559</t>
  </si>
  <si>
    <t>PEREZ MINGUELL, CLARA</t>
  </si>
  <si>
    <t>911/7.102.6264</t>
  </si>
  <si>
    <t>MIRÓ FÁBREGAT, MIQUEL</t>
  </si>
  <si>
    <t>901/5.070.6280</t>
  </si>
  <si>
    <t>A4</t>
  </si>
  <si>
    <t>CARMONA GARCIA, ANA</t>
  </si>
  <si>
    <t>901/5.111.1292</t>
  </si>
  <si>
    <t>D7</t>
  </si>
  <si>
    <t>SUAREZ RODRIGUEZ, PAULA</t>
  </si>
  <si>
    <t>001/2.209.0054</t>
  </si>
  <si>
    <t>A2</t>
  </si>
  <si>
    <t>CARVAJAL FERNANDEZ, MARTINA</t>
  </si>
  <si>
    <t>001/1.196.0139</t>
  </si>
  <si>
    <t>B7</t>
  </si>
  <si>
    <t>FOXG1</t>
  </si>
  <si>
    <t xml:space="preserve">QUEROL CHAO, MIRIAM </t>
  </si>
  <si>
    <t>001/1.104.0488</t>
  </si>
  <si>
    <t>F1</t>
  </si>
  <si>
    <t>FERREYRA BASTIDAS, CATHERINE SOPHI</t>
  </si>
  <si>
    <t>901/6.042.4339</t>
  </si>
  <si>
    <t>A6</t>
  </si>
  <si>
    <t>ASL</t>
  </si>
  <si>
    <t>LKH</t>
  </si>
  <si>
    <t>CPM</t>
  </si>
  <si>
    <t>MMF</t>
  </si>
  <si>
    <t>ACG</t>
  </si>
  <si>
    <t>PSR</t>
  </si>
  <si>
    <t>MCF</t>
  </si>
  <si>
    <t>MQC</t>
  </si>
  <si>
    <t>CFB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</si>
  <si>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</si>
  <si>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</si>
  <si>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</si>
  <si>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</si>
  <si>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</si>
  <si>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</si>
  <si>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</si>
  <si>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</si>
  <si>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</si>
  <si>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</si>
  <si>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ADOLPHI HEIJMAN, TAMMY</t>
  </si>
  <si>
    <t>TAH</t>
  </si>
  <si>
    <t>RUIZ TORRES, ROSA</t>
  </si>
  <si>
    <t>RRT</t>
  </si>
  <si>
    <t xml:space="preserve">EL MODDEN ZAIDI DAIMOUSSI, ANASS </t>
  </si>
  <si>
    <t>P32</t>
  </si>
  <si>
    <t>P33</t>
  </si>
  <si>
    <t>P45</t>
  </si>
  <si>
    <t>P46</t>
  </si>
  <si>
    <t>P47</t>
  </si>
  <si>
    <t>CDKL5
c.1675C&gt;T (p.Arg559X)</t>
  </si>
  <si>
    <t>CDKL5                                                                  
c.858C&gt;A (p.Tyr286Stop)</t>
  </si>
  <si>
    <t>CDKL5
c.528G&gt;T (p.Trp176Cys</t>
  </si>
  <si>
    <t>CDKL5
c.2704C&gt;T (p.Gln902Stop)</t>
  </si>
  <si>
    <t>FOXG1
c.624C&gt;G (p.Y208X)</t>
  </si>
  <si>
    <t>CDKL5
c.587C&gt;G p.Ser196Trp</t>
  </si>
  <si>
    <t>Severe intellectual disability, 
stereotypes</t>
  </si>
  <si>
    <t>CDKL5
c.99+1G&gt;T</t>
  </si>
  <si>
    <t>Vigabatrin</t>
  </si>
  <si>
    <t>Valproic acid, carbamazepine, clobazam, ACTH</t>
  </si>
  <si>
    <t>CDKL5
c.1072 G&gt;A (p.Glu358Lys)</t>
  </si>
  <si>
    <t>Severe intellectual disability,
stereotypes, Hyperventilation</t>
  </si>
  <si>
    <t>Valproic acid,Vigabatrin, levetiracetam</t>
  </si>
  <si>
    <t>Severe intellectual disability, dystonia, stereotypes</t>
  </si>
  <si>
    <t>FOXG1
c.619A&gt;T (p.Ile207Phe)</t>
  </si>
  <si>
    <t>001/1.178.0620</t>
  </si>
  <si>
    <t>D4</t>
  </si>
  <si>
    <t>MVG</t>
  </si>
  <si>
    <t>MARTIN VILLANUEVA GARCIA</t>
  </si>
  <si>
    <t>FOXG1 deletion</t>
  </si>
  <si>
    <t>Chorea and tremor, autism, epilepsy, Rett-Like</t>
  </si>
  <si>
    <t>Profound intellectual disability,
Microcephaly, stereotypes, Epileptic encephalopathy</t>
  </si>
  <si>
    <t>Carbamazepine</t>
  </si>
  <si>
    <t>Valproic acid</t>
  </si>
  <si>
    <t>Valproic acid, carbamazepine</t>
  </si>
  <si>
    <t>Phenobarbital, vigabatrine</t>
  </si>
  <si>
    <t>Valproic acid, carbamazepine, clobazam</t>
  </si>
  <si>
    <t>Levetiracetam, vigabatrine</t>
  </si>
  <si>
    <t>Levetiracetam, oxcarbamazepine, clobazam</t>
  </si>
  <si>
    <t>CDKL5
c.533G&gt;A; p.Arg178Gln</t>
  </si>
  <si>
    <t>Early Infantile Epileptic Encephalopathy</t>
  </si>
  <si>
    <t>901/6.032.3335</t>
  </si>
  <si>
    <t>901/4.040.1272</t>
  </si>
  <si>
    <t>CDKL5
c.637G&gt;T (Gly213Ter)</t>
  </si>
  <si>
    <t>001/6.302.0640</t>
  </si>
  <si>
    <t>AEZ</t>
  </si>
  <si>
    <t>Early Infantile Epileptic Encephalopathy,  Severe intellectual disability, akinetic–rigid syndrome</t>
  </si>
  <si>
    <t>Severe intellectual disability, 
autism, epilepsy</t>
  </si>
  <si>
    <t>Severe intellectual disability, 
autism</t>
  </si>
  <si>
    <t>Epileptic Encephalopathy, autism,  Severe intellectual disability</t>
  </si>
  <si>
    <t>Neurodevelopmental encephalopathy, Severe intellectual disability, progressive microcephaly</t>
  </si>
  <si>
    <t>LEO CORDOBA GARCIA</t>
  </si>
  <si>
    <t>ENOIL-COA-Hidratasa</t>
  </si>
  <si>
    <t>ID</t>
  </si>
  <si>
    <t>ID HSJD</t>
  </si>
  <si>
    <t>MECP2</t>
  </si>
  <si>
    <t>Rett MECP2</t>
  </si>
  <si>
    <t>1241075</t>
  </si>
  <si>
    <t>LSF</t>
  </si>
  <si>
    <t>AMC</t>
  </si>
  <si>
    <t>Age at study (years)</t>
  </si>
  <si>
    <t>1306005</t>
  </si>
  <si>
    <t>1168769</t>
  </si>
  <si>
    <t>1004061</t>
  </si>
  <si>
    <t>MECP2                 c.763C&gt;T (p.R255X)</t>
  </si>
  <si>
    <t>867771</t>
  </si>
  <si>
    <t>MECP2       c.961_1188delins220 (p.Lys321Gly fs X6)</t>
  </si>
  <si>
    <t>1239202</t>
  </si>
  <si>
    <t>1122350</t>
  </si>
  <si>
    <t>1170551</t>
  </si>
  <si>
    <t>MECP2                                                           
c.763C&gt;T p(Arg255X)</t>
  </si>
  <si>
    <t>MECP2                     
c.316C&gt;T (p.Arg106Trp)</t>
  </si>
  <si>
    <t>MECP2               
c.410A&gt;G (p.E137G)</t>
  </si>
  <si>
    <t xml:space="preserve"> MECP2 C502T</t>
  </si>
  <si>
    <t>MECP2                     
c.808C&gt;T (p.Arg270Stop)</t>
  </si>
  <si>
    <t>MECP2                
c.925C&gt;T (p.R309W)</t>
  </si>
  <si>
    <t>MECP2                     
c.916C&gt;T (p.R306C)</t>
  </si>
  <si>
    <t>MECP2                  
c.808C&gt;T (p.R270X)</t>
  </si>
  <si>
    <t>MECP2                      
c.916C&gt;T (p.R306C)</t>
  </si>
  <si>
    <t>MECP2 
c.1461+99insA</t>
  </si>
  <si>
    <t>MECP2                     
c.880C&gt;T (p.R294X)</t>
  </si>
  <si>
    <t>JFA</t>
  </si>
  <si>
    <t>NMO</t>
  </si>
  <si>
    <t>GJP</t>
  </si>
  <si>
    <t>CSC</t>
  </si>
  <si>
    <t>SMG</t>
  </si>
  <si>
    <t>LQA</t>
  </si>
  <si>
    <t>CBS</t>
  </si>
  <si>
    <t>BJG</t>
  </si>
  <si>
    <t>AEM</t>
  </si>
  <si>
    <t>MSC</t>
  </si>
  <si>
    <t>SCC</t>
  </si>
  <si>
    <t>AAP</t>
  </si>
  <si>
    <t>Neurodevelopmental epileptic encephalopathy, autism, severe intellectual disability</t>
  </si>
  <si>
    <t>Clobazam, lamotrigine</t>
  </si>
  <si>
    <t>LOURDES SALGADO FERNANDEZ</t>
  </si>
  <si>
    <t>ISABEL ROSALES DIAZ</t>
  </si>
  <si>
    <t>JULIA FERNANDEZ ALVAREZ</t>
  </si>
  <si>
    <t>NEREA MOLINA ORTIZ</t>
  </si>
  <si>
    <t>GINA JULIAN PEDROSA</t>
  </si>
  <si>
    <t>CARLA SERRA CAMPOS</t>
  </si>
  <si>
    <t>SANTIAGO MARROQUIN GONZALEZ</t>
  </si>
  <si>
    <t>LAURA GISELE QUIMASO ALZUGARRAY</t>
  </si>
  <si>
    <t>CHIARA BELLO SCARABELLI</t>
  </si>
  <si>
    <t>BERTA JURADO GARCÍA</t>
  </si>
  <si>
    <t>ANNA ESTRUGA MONTULL</t>
  </si>
  <si>
    <t>MAR SOLER CASALS</t>
  </si>
  <si>
    <t>SHEILA CRUZ CALLEJAS</t>
  </si>
  <si>
    <t>ANDREA ÁLVAREZ PÉREZ</t>
  </si>
  <si>
    <t>Zonisamide, Ethosuximide, risperidone</t>
  </si>
  <si>
    <t>Valproic acid, lamotrigine, risperidone, 5-Hydroxytryptophan</t>
  </si>
  <si>
    <t xml:space="preserve">MIRO CODER, AINARA </t>
  </si>
  <si>
    <t>FONTANELLA BOLZANI, LUISINA</t>
  </si>
  <si>
    <t>LFB</t>
  </si>
  <si>
    <t>MECP2
S229L</t>
  </si>
  <si>
    <t>Profound intellectual disability, tyoical Rett-syndrome</t>
  </si>
  <si>
    <t>Severe Intelletual disability</t>
  </si>
  <si>
    <t>Valproic acid, levetiracetam</t>
  </si>
  <si>
    <t>Neurodevelopmental encephalopathy, Severe intellectual disability</t>
  </si>
  <si>
    <t>Neurodevelopmental encephalopathy, Severe intellectual disability, autism, hypomimia</t>
  </si>
  <si>
    <t>001/1.308.0605</t>
  </si>
  <si>
    <t>001/1.297.0403</t>
  </si>
  <si>
    <t>BISBAL CAELLAS, RAQUEL</t>
  </si>
  <si>
    <t>LACHICA RIQUER, BERTA</t>
  </si>
  <si>
    <t xml:space="preserve">JIMENEZ MARTINEZ, MARTINA </t>
  </si>
  <si>
    <t>901/5.071.9269</t>
  </si>
  <si>
    <t>001/7.095.0528</t>
  </si>
  <si>
    <t>001/1.028.0204</t>
  </si>
  <si>
    <t>RBC</t>
  </si>
  <si>
    <t>BLR</t>
  </si>
  <si>
    <t>MJM</t>
  </si>
  <si>
    <t>Neurodevelopmental encephalopathy, Severe intellectual disability, Autism</t>
  </si>
  <si>
    <t>Valproic acid, clobazam</t>
  </si>
  <si>
    <t>Severe intellectual disability, autism</t>
  </si>
  <si>
    <t>901/4.020.9290</t>
  </si>
  <si>
    <t>GRIN-Related disorders</t>
  </si>
  <si>
    <t>BCKDK</t>
  </si>
  <si>
    <t>CHAIBI, BILEL</t>
  </si>
  <si>
    <t>001/4.178.0590</t>
  </si>
  <si>
    <t>BC</t>
  </si>
  <si>
    <t>Severe intellectual disability, hyperkinesia, behavioural disturbances, progressive microcephaly</t>
  </si>
  <si>
    <t>Inborn error of metabolism</t>
  </si>
  <si>
    <t>CDKL5
 c.1341delC (p.F447fs)</t>
  </si>
  <si>
    <t>Neurodevelopmental encephalopathy, epilesy, severe intellectual disability</t>
  </si>
  <si>
    <t>Rett-like encephalopathy</t>
  </si>
  <si>
    <t>001/8.260.0861</t>
  </si>
  <si>
    <t>LCG</t>
  </si>
  <si>
    <t>ECHS1:
p.Ala247Val/c.740C&gt;T 
p.Leu49Ser/c.146T&gt;C</t>
  </si>
  <si>
    <t>Mitochondrial fatty acid beta-oxidation defect
Mitochondrial short-chain enoyl-CoA hydratase 1 deficiency</t>
  </si>
  <si>
    <t xml:space="preserve">Leigh Syndrome, Severe delayed psychomotor development, dystonic movement, </t>
  </si>
  <si>
    <t>001/1.322.0043</t>
  </si>
  <si>
    <t>Valproic, levetiracetam</t>
  </si>
  <si>
    <t>Epilepsy, severe intellectual disability, scoliosis</t>
  </si>
  <si>
    <t>Severe intellectual disability, motor complex disorder (dystonia, dyskinesia), scoliosis, prolonged QT interval</t>
  </si>
  <si>
    <t>001/1.266.0466</t>
  </si>
  <si>
    <t>001/1.190.0112</t>
  </si>
  <si>
    <t>Epileptic encephalopathy, profound intellectual disability</t>
  </si>
  <si>
    <t>001/1.203.0436</t>
  </si>
  <si>
    <t>Valproic acid, phenobarbital, clobazam</t>
  </si>
  <si>
    <t>901/4.020.9289</t>
  </si>
  <si>
    <t>001/1.210.0119</t>
  </si>
  <si>
    <t>Epilepsy, severe intellectual disability</t>
  </si>
  <si>
    <t>Valproic acid, risperidone, Levomepromazine</t>
  </si>
  <si>
    <t>001/1.119.0425</t>
  </si>
  <si>
    <t>Neurodevelopmental epileptic encephalopathy, severe intellectual disability</t>
  </si>
  <si>
    <t>001/1.231.0045</t>
  </si>
  <si>
    <t>Neurodevelopmental epileptic encephalopathy, severe intellectual disability, progressive microcephaly</t>
  </si>
  <si>
    <t>901/5.052.7256</t>
  </si>
  <si>
    <t>Neurodevelopmental epileptic encephalopathy, profound intellectual disability, spasticity, scoliosis</t>
  </si>
  <si>
    <t>Neurodevelopmental epileptic encephalopathy, intellectual disability, progressive microcephaly, Spastic-dystonic tetraparesis</t>
  </si>
  <si>
    <t>901/4.032.4379</t>
  </si>
  <si>
    <t>901/4.040.3061</t>
  </si>
  <si>
    <t>Carbamazepine, clonazepam</t>
  </si>
  <si>
    <t>901/4.020.9287</t>
  </si>
  <si>
    <t>MECP2
Y141X; 423C-G</t>
  </si>
  <si>
    <t>MECP2: 
c.[ 763&gt;T]
p.[ Arg255Stop]</t>
  </si>
  <si>
    <t>MECP2
c.473C&gt;T (p.T158M)</t>
  </si>
  <si>
    <t>BCKDK
c.520C&gt;G, homocygous</t>
  </si>
  <si>
    <t>DURAN MIRADA, XENIA</t>
  </si>
  <si>
    <t>BCKDK
p.Gln145*/c.433C&gt;T p.Gly367Asp/c.1100G&gt;A</t>
  </si>
  <si>
    <t>XDM</t>
  </si>
  <si>
    <t>Delayed psychomotor development, progressive microcephaly</t>
  </si>
  <si>
    <t>001/7.341.0450</t>
  </si>
  <si>
    <t>ICA</t>
  </si>
  <si>
    <t xml:space="preserve">CDKL5 </t>
  </si>
  <si>
    <t>STXBP1
c.1548delC; p.Ser516ArgfsTer30</t>
  </si>
  <si>
    <t>MUSCURICII , MONTSERRAT M. I</t>
  </si>
  <si>
    <t>001/8.194.0405</t>
  </si>
  <si>
    <t>MECP2
c.1075_1178del104bp/p.SerArg_fsTer12</t>
  </si>
  <si>
    <t>Topiramate</t>
  </si>
  <si>
    <t>QUERO MACARRO, LIDIA</t>
  </si>
  <si>
    <t>LQM</t>
  </si>
  <si>
    <t>001/0.115.0217</t>
  </si>
  <si>
    <t>Autism,  Mild intellectual disability</t>
  </si>
  <si>
    <t>GRIN2B (NM_000834.3):
p.Arg926*/c.2776C&gt;T</t>
  </si>
  <si>
    <t>001/9.290.0517</t>
  </si>
  <si>
    <t>BILOUS, ANDRII</t>
  </si>
  <si>
    <t>AB</t>
  </si>
  <si>
    <t>LEV</t>
  </si>
  <si>
    <t>P49</t>
  </si>
  <si>
    <t>Encefalopatía etilmalónica</t>
  </si>
  <si>
    <t xml:space="preserve"> GONZALEZ GOMEZ, ADAN</t>
  </si>
  <si>
    <t>001/0.052.0617</t>
  </si>
  <si>
    <t>AGG</t>
  </si>
  <si>
    <t>ETHE1, C488G&gt;A</t>
  </si>
  <si>
    <t>riboflavine, carnitine, coenzyme Q</t>
  </si>
  <si>
    <t>Progressive spastic paraparesis, leigh syndrome</t>
  </si>
  <si>
    <t>SHENGOV , ERKAN YUSEIN</t>
  </si>
  <si>
    <t>EYS</t>
  </si>
  <si>
    <t>001/8.284.0594</t>
  </si>
  <si>
    <t>Delayed psychomotor development, spasticity, Leigh syndrome, pethequia, diarrhoea</t>
  </si>
  <si>
    <t>GNB1</t>
  </si>
  <si>
    <t>001/8.299.0476</t>
  </si>
  <si>
    <t>LEON BALAGUE, GERARD</t>
  </si>
  <si>
    <t>GLB</t>
  </si>
  <si>
    <t>Delayed psychomotor development, macrocephaly, complex motor syndrome</t>
  </si>
  <si>
    <t>Complex motor syndrome</t>
  </si>
  <si>
    <t>LEBRERO RODRIGUEZ, GUILLERMO</t>
  </si>
  <si>
    <t>001/0.301.0691</t>
  </si>
  <si>
    <t>GLR</t>
  </si>
  <si>
    <t> STXBP1 (c.1249+2T&gt;C, g417aFSx7)</t>
  </si>
  <si>
    <t>Refractory epileptic encephalopathy, spasticity</t>
  </si>
  <si>
    <t>yes</t>
  </si>
  <si>
    <t xml:space="preserve">Valproic acid, clonazepam, pregabaline, rufinamide </t>
  </si>
  <si>
    <t>DRAGOMIR TAMAYO, IRINA</t>
  </si>
  <si>
    <t>001/0.304.0550</t>
  </si>
  <si>
    <t>IDT</t>
  </si>
  <si>
    <t>GNB1 c.239T&gt;C (p.Ile80thr)</t>
  </si>
  <si>
    <t>Delayed psychomotor development, epilepsy, complex motor syndrome</t>
  </si>
  <si>
    <t>BLASCO RUIZ, ANA</t>
  </si>
  <si>
    <t>001/9.309.0673</t>
  </si>
  <si>
    <t>ABR</t>
  </si>
  <si>
    <t>Neurodevelopmental encephalopathy</t>
  </si>
  <si>
    <t>NKH</t>
  </si>
  <si>
    <t>911/1.287.0287</t>
  </si>
  <si>
    <t>RIFI AISSAOUI, MOHAMED</t>
  </si>
  <si>
    <t>MRA</t>
  </si>
  <si>
    <t>Severe intellectual disability, epilepsy, hypotonia, limbs spasticity, movement disorder</t>
  </si>
  <si>
    <t>Severe Intellectual disability, behavioral disorder</t>
  </si>
  <si>
    <t xml:space="preserve">GLDC c.1084C&gt;T Homocygous  </t>
  </si>
  <si>
    <t>001/7.209.0587</t>
  </si>
  <si>
    <t>HASSIB, AYA</t>
  </si>
  <si>
    <t>AH</t>
  </si>
  <si>
    <t>Acute encephalopathy, burst-supression epilepsy</t>
  </si>
  <si>
    <t xml:space="preserve">GLDC c.1694C&gt;T Homocygous  </t>
  </si>
  <si>
    <t>Acute metabolic encephalopathy</t>
  </si>
  <si>
    <t>001/9.240.0721</t>
  </si>
  <si>
    <t>KORIR, JAD</t>
  </si>
  <si>
    <t>JK</t>
  </si>
  <si>
    <t>GLDC c.2311G&gt;A</t>
  </si>
  <si>
    <t>Acute encephalopathy, burst-supression epilepsy, apneas</t>
  </si>
  <si>
    <t>Serine deficit</t>
  </si>
  <si>
    <t>001/6.131.0541</t>
  </si>
  <si>
    <t>CASTILLO SANCHEZ, ALVARO</t>
  </si>
  <si>
    <t>ACR</t>
  </si>
  <si>
    <t>901/5.022.3238</t>
  </si>
  <si>
    <t>EL GHZAOUI ZIAT, FATIMA</t>
  </si>
  <si>
    <t>FGZ</t>
  </si>
  <si>
    <t>Severe intellectual disability, microcephaly</t>
  </si>
  <si>
    <t>Moderate intellectual disability</t>
  </si>
  <si>
    <t>SSADH</t>
  </si>
  <si>
    <t>001/3.008.0461</t>
  </si>
  <si>
    <t>FERNANDEZ LOPEZ, ACHER</t>
  </si>
  <si>
    <t>P82</t>
  </si>
  <si>
    <t>P83</t>
  </si>
  <si>
    <t>AFL</t>
  </si>
  <si>
    <t>ALDH5A1 c.612G&gt;A; c.803G&gt;A</t>
  </si>
  <si>
    <t>Moderate intellectual disability, epilepsy</t>
  </si>
  <si>
    <t>MANICH AMOROS, NIL</t>
  </si>
  <si>
    <t>P84</t>
  </si>
  <si>
    <t>001/0.269.0623</t>
  </si>
  <si>
    <t>NMA</t>
  </si>
  <si>
    <t>EEF1A2 c.43C&gt;G</t>
  </si>
  <si>
    <t>Early epileptic encephalopathy, myoclonic epilepsy, intellectual disability, autism</t>
  </si>
  <si>
    <t>Early epileptic encephalopathy</t>
  </si>
  <si>
    <t>LMT, VPA, BRV</t>
  </si>
  <si>
    <t>Others</t>
  </si>
  <si>
    <t>GRACIA CABALLERO, MARC</t>
  </si>
  <si>
    <t>MGC</t>
  </si>
  <si>
    <t>911/8.102.3086</t>
  </si>
  <si>
    <t>GNB1
het c.239T&gt;C, p.Ile80Thr</t>
  </si>
  <si>
    <t>Spastic paraplegia HP:0001258
Progressive spasticity HP:0002191
Progressive spastic quadriplegia HP:0002478
Intellectual disability, severe HP:0010864
Cutaneous mastocytosis HP:0200151
Joint laxity HP:0001388</t>
  </si>
  <si>
    <t>P85</t>
  </si>
  <si>
    <t>SJD19060048</t>
  </si>
  <si>
    <t>SJD21060003</t>
  </si>
  <si>
    <t xml:space="preserve">SJD21060004 </t>
  </si>
  <si>
    <t xml:space="preserve">SJD21060005 </t>
  </si>
  <si>
    <t>SJD21060013</t>
  </si>
  <si>
    <t>SJD19060086</t>
  </si>
  <si>
    <t xml:space="preserve">SJD19060096 </t>
  </si>
  <si>
    <t xml:space="preserve">SJD21060006 </t>
  </si>
  <si>
    <t>SJD21060007</t>
  </si>
  <si>
    <t xml:space="preserve">SJD19060116 </t>
  </si>
  <si>
    <t xml:space="preserve">SJD21060008 </t>
  </si>
  <si>
    <t>SJD21060009</t>
  </si>
  <si>
    <t>SJD21060010</t>
  </si>
  <si>
    <t>SJD21060011</t>
  </si>
  <si>
    <t xml:space="preserve">SJD21060012 </t>
  </si>
  <si>
    <t>SJD21060014</t>
  </si>
  <si>
    <t xml:space="preserve">SJD21060015 </t>
  </si>
  <si>
    <t>SJD21060016</t>
  </si>
  <si>
    <t>SJD21060017</t>
  </si>
  <si>
    <t>SJD21060018</t>
  </si>
  <si>
    <t xml:space="preserve">SJD21060019 </t>
  </si>
  <si>
    <t>SJD21060020</t>
  </si>
  <si>
    <t>SJD21060021</t>
  </si>
  <si>
    <t xml:space="preserve">SJD21060022 </t>
  </si>
  <si>
    <t>SJD19060104</t>
  </si>
  <si>
    <t xml:space="preserve">SJD21060023 </t>
  </si>
  <si>
    <t xml:space="preserve">SJD21060024 </t>
  </si>
  <si>
    <t>SJD21060025</t>
  </si>
  <si>
    <t>SJD19060120</t>
  </si>
  <si>
    <t>SJD21060026</t>
  </si>
  <si>
    <t>SJD19060065</t>
  </si>
  <si>
    <t xml:space="preserve">SJD21060027 </t>
  </si>
  <si>
    <t xml:space="preserve">SJD21060028 </t>
  </si>
  <si>
    <t>SJD19060098</t>
  </si>
  <si>
    <t>SJD21060030</t>
  </si>
  <si>
    <t>SJD21060029</t>
  </si>
  <si>
    <t xml:space="preserve">SJD21060031 </t>
  </si>
  <si>
    <t xml:space="preserve">SJD21060032 </t>
  </si>
  <si>
    <t>SJD21060033</t>
  </si>
  <si>
    <t xml:space="preserve">SJD21060034 </t>
  </si>
  <si>
    <t>SJD21060035</t>
  </si>
  <si>
    <t xml:space="preserve">SJD21060036 </t>
  </si>
  <si>
    <t xml:space="preserve">SJD21060037 </t>
  </si>
  <si>
    <t>SJD21060038</t>
  </si>
  <si>
    <t>SJD21060039</t>
  </si>
  <si>
    <t xml:space="preserve">SJD21060040 </t>
  </si>
  <si>
    <t>SJD21060041</t>
  </si>
  <si>
    <t xml:space="preserve">SJD21060042 </t>
  </si>
  <si>
    <t>SJD19060142</t>
  </si>
  <si>
    <t xml:space="preserve">SJD21060043 </t>
  </si>
  <si>
    <t>SJD21060044</t>
  </si>
  <si>
    <t>SJD21060045</t>
  </si>
  <si>
    <t>P8</t>
  </si>
  <si>
    <t>P9</t>
  </si>
  <si>
    <t>P10</t>
  </si>
  <si>
    <t>P11</t>
  </si>
  <si>
    <t>TRAPPC11
c.1287+5G&gt;A Homoz.</t>
  </si>
  <si>
    <t>ETHE1 
p.Asp196Asn/c.586G&gt;A
p.Gly123Arg/c.367G&gt;A</t>
  </si>
  <si>
    <t>P12</t>
  </si>
  <si>
    <t>P13</t>
  </si>
  <si>
    <t>P14</t>
  </si>
  <si>
    <t>P15</t>
  </si>
  <si>
    <t>P48-B</t>
  </si>
  <si>
    <t>P48-A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</si>
  <si>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</si>
  <si>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</si>
  <si>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</si>
  <si>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</si>
  <si>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</si>
  <si>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</si>
  <si>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</si>
  <si>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</si>
  <si>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</si>
  <si>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</si>
  <si>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</si>
  <si>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</si>
  <si>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</si>
  <si>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</si>
  <si>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</si>
  <si>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</si>
  <si>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</si>
  <si>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</si>
  <si>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</si>
  <si>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</si>
  <si>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</si>
  <si>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</si>
  <si>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</si>
  <si>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</si>
  <si>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</si>
  <si>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</si>
  <si>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</si>
  <si>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</si>
  <si>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</si>
  <si>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</si>
  <si>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</si>
  <si>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</si>
  <si>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PROTEÓMICA (Sabidó)</t>
  </si>
  <si>
    <t>Vol</t>
  </si>
  <si>
    <t>Fecha envío</t>
  </si>
  <si>
    <t>METABOLÓMICA (Verbeek)</t>
  </si>
  <si>
    <t>LIPIDÓMICA (Vaz)</t>
  </si>
  <si>
    <t>A1</t>
  </si>
  <si>
    <t>A3</t>
  </si>
  <si>
    <t>A5</t>
  </si>
  <si>
    <t>A7</t>
  </si>
  <si>
    <t>A8</t>
  </si>
  <si>
    <t>A9</t>
  </si>
  <si>
    <t>B9</t>
  </si>
  <si>
    <t>B2</t>
  </si>
  <si>
    <t>B3</t>
  </si>
  <si>
    <t>B4</t>
  </si>
  <si>
    <t>001/9.037.0811</t>
  </si>
  <si>
    <t>001/3.035.0906</t>
  </si>
  <si>
    <t>H7</t>
  </si>
  <si>
    <t>B5</t>
  </si>
  <si>
    <t>B6</t>
  </si>
  <si>
    <t>B8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</si>
  <si>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</si>
  <si>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</si>
  <si>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</si>
  <si>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</si>
  <si>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</si>
  <si>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</si>
  <si>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</si>
  <si>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</si>
  <si>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</si>
  <si>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D1</t>
  </si>
  <si>
    <t>D2</t>
  </si>
  <si>
    <t>D3</t>
  </si>
  <si>
    <t>D5</t>
  </si>
  <si>
    <t>D6</t>
  </si>
  <si>
    <t>D8</t>
  </si>
  <si>
    <t>D9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</si>
  <si>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</si>
  <si>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</si>
  <si>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</si>
  <si>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</si>
  <si>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</si>
  <si>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</si>
  <si>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</si>
  <si>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</si>
  <si>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</si>
  <si>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F2</t>
  </si>
  <si>
    <t>001/8.361.0786</t>
  </si>
  <si>
    <t>001/8.236.0667</t>
  </si>
  <si>
    <t>MECP2
 c.905C&gt;A (p.P302H)</t>
  </si>
  <si>
    <t>Fecha</t>
  </si>
  <si>
    <t>Investigador</t>
  </si>
  <si>
    <t>Resumen actividad</t>
  </si>
  <si>
    <t>Asunto pendiente</t>
  </si>
  <si>
    <t>Alfonso</t>
  </si>
  <si>
    <t>Recojo muestras de AP, cotejo lista con Natalia</t>
  </si>
  <si>
    <t>Revisar qué muestras faltan</t>
  </si>
  <si>
    <t>Natalia revisará dónde están las que faltan para organizar volúmenes</t>
  </si>
  <si>
    <t>MUESTRAS ÓMICAS, SEGUIMIENTO DE ACTIVIDADES</t>
  </si>
  <si>
    <t>CI
(Yes/No)</t>
  </si>
  <si>
    <t>Confirmo las muestras que faltan, paso documento a Natalia y Àngels</t>
  </si>
  <si>
    <t>Natalia</t>
  </si>
  <si>
    <t>Pendiente que me den una respuesta</t>
  </si>
  <si>
    <t>P71B</t>
  </si>
  <si>
    <t>001/9,347,0448</t>
  </si>
  <si>
    <t>P71A</t>
  </si>
  <si>
    <t>911/9.100.5561</t>
  </si>
  <si>
    <t>911/1,048,0396</t>
  </si>
  <si>
    <t>P71C</t>
  </si>
  <si>
    <t>He incluido 3 muestras extras de Bilel, para no enredar, las he numerado como 71a,71b y 71c. Solicitadas a Jesús</t>
  </si>
  <si>
    <t>Mail enviado Jesús: Petición muestras que no estaban cajas, muestras extranjero, situación de las muestras que no están</t>
  </si>
  <si>
    <t>Verificar su disponibilidad en biobanco</t>
  </si>
  <si>
    <t>Coord.</t>
  </si>
  <si>
    <t xml:space="preserve">Recojo muestras de AP, actualizo lista, y pregunto en BQ por las que faltan. </t>
  </si>
  <si>
    <t xml:space="preserve">Según me diga Abraham, buscar las que falten o </t>
  </si>
  <si>
    <t>x</t>
  </si>
  <si>
    <t>Busco muestras en BQ. Actualizo base de datos</t>
  </si>
  <si>
    <t>Buscar la semana que viene las que faltasen (lunes). Informar a biobanco y BQ que me he llevado muestras</t>
  </si>
  <si>
    <t>G2</t>
  </si>
  <si>
    <t>G6</t>
  </si>
  <si>
    <t>F4</t>
  </si>
  <si>
    <t>G7</t>
  </si>
  <si>
    <t>F6</t>
  </si>
  <si>
    <t>F8</t>
  </si>
  <si>
    <t>F7</t>
  </si>
  <si>
    <t>F9</t>
  </si>
  <si>
    <t>G8</t>
  </si>
  <si>
    <t>F5, G3</t>
  </si>
  <si>
    <t>F3</t>
  </si>
  <si>
    <t>G4, G5</t>
  </si>
  <si>
    <t xml:space="preserve">Vuelvo a buscar muestras en BQ. </t>
  </si>
  <si>
    <t>MEDIR VOLÚMENES Y ENVIAR</t>
  </si>
  <si>
    <t>NO</t>
  </si>
  <si>
    <t xml:space="preserve">VOL restante
 (μL) </t>
  </si>
  <si>
    <t>IRD</t>
  </si>
  <si>
    <t>NOTA: Color amarillento</t>
  </si>
  <si>
    <t>1334079</t>
  </si>
  <si>
    <t>GM00464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</si>
  <si>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</si>
  <si>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</si>
  <si>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</si>
  <si>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</si>
  <si>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</si>
  <si>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</si>
  <si>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</si>
  <si>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</si>
  <si>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</si>
  <si>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B1</t>
  </si>
  <si>
    <t>Cris  &amp; Alfonso</t>
  </si>
  <si>
    <t>Acabamos alícuotas. Cajas listas para envío.</t>
  </si>
  <si>
    <t>SABIDÓ</t>
  </si>
  <si>
    <t>EURECAT</t>
  </si>
  <si>
    <t>VAZ</t>
  </si>
  <si>
    <t>VAZ?</t>
  </si>
  <si>
    <t>¿?</t>
  </si>
  <si>
    <t>EURECAT/HOLANDA</t>
  </si>
  <si>
    <t>HOLANDA</t>
  </si>
  <si>
    <t>Pedir fibros, y enviar a VAZ. Pedir HCs a Natalia, y pagar con FEDER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</si>
</sst>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  <charset val="1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color theme="1"/>
      <name val="Calibri Light"/>
      <family val="2"/>
    </font>
    <font>
      <b/>
      <sz val="10"/>
      <name val="Calibri Light"/>
      <family val="2"/>
    </font>
    <font>
      <sz val="10"/>
      <color theme="1" tint="0.499984740745262"/>
      <name val="Calibri Light"/>
      <family val="2"/>
    </font>
    <font>
      <b/>
      <sz val="10"/>
      <color theme="1"/>
      <name val="Calibri Light"/>
      <family val="2"/>
    </font>
    <font>
      <sz val="10"/>
      <name val="Calibri Light"/>
      <family val="2"/>
    </font>
    <font>
      <b/>
      <sz val="10"/>
      <color theme="1"/>
      <name val="Calibri"/>
      <family val="2"/>
    </font>
    <font>
      <b/>
      <sz val="10"/>
      <name val="Calibri"/>
      <family val="2"/>
    </font>
    <font>
      <b/>
      <sz val="14"/>
      <color theme="1"/>
      <name val="Calibri"/>
      <family val="2"/>
    </font>
    <font>
      <b/>
      <sz val="10"/>
      <color indexed="8"/>
      <name val="Calibri Light"/>
      <family val="2"/>
    </font>
    <font>
      <sz val="10"/>
      <color rgb="FF000000"/>
      <name val="Calibri Light"/>
      <family val="2"/>
    </font>
    <font>
      <sz val="10"/>
      <color indexed="8"/>
      <name val="Calibri Light"/>
      <family val="2"/>
    </font>
    <font>
      <sz val="10"/>
      <color indexed="8"/>
      <name val="Calibri Light"/>
      <family val="2"/>
    </font>
    <font>
      <sz val="10"/>
      <color theme="1"/>
      <name val="Calibri Light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1CC"/>
        <bgColor indexed="64"/>
      </patternFill>
    </fill>
    <fill>
      <patternFill patternType="darkUp">
        <fgColor theme="7" tint="0.79998168889431442"/>
        <bgColor theme="7" tint="0.39994506668294322"/>
      </patternFill>
    </fill>
    <fill>
      <patternFill patternType="solid">
        <fgColor rgb="FFE7F1D1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/>
      <diagonal/>
    </border>
    <border>
      <left style="medium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theme="0" tint="-0.499984740745262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thin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 style="thin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/>
      <diagonal/>
    </border>
    <border>
      <left/>
      <right style="thin">
        <color theme="0" tint="-0.499984740745262"/>
      </right>
      <top style="hair">
        <color theme="0" tint="-0.499984740745262"/>
      </top>
      <bottom/>
      <diagonal/>
    </border>
    <border>
      <left style="thin">
        <color theme="0" tint="-0.499984740745262"/>
      </left>
      <right/>
      <top/>
      <bottom style="hair">
        <color theme="0" tint="-0.499984740745262"/>
      </bottom>
      <diagonal/>
    </border>
    <border>
      <left/>
      <right style="thin">
        <color theme="0" tint="-0.499984740745262"/>
      </right>
      <top/>
      <bottom style="hair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thin">
        <color theme="0" tint="-0.499984740745262"/>
      </bottom>
      <diagonal/>
    </border>
    <border>
      <left/>
      <right/>
      <top style="hair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</borders>
  <cellStyleXfs count="22">
    <xf numFmtId="0" fontId="0" fillId="0" borderId="0"/>
    <xf numFmtId="0" fontId="1" fillId="0" borderId="0"/>
    <xf numFmtId="0" fontId="2" fillId="0" borderId="0"/>
    <xf numFmtId="0" fontId="3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98">
    <xf numFmtId="0" fontId="0" fillId="0" borderId="0" xfId="0"/>
    <xf numFmtId="0" fontId="7" fillId="0" borderId="0" xfId="0" applyFont="1" applyFill="1" applyBorder="1" applyAlignment="1">
      <alignment horizontal="center" vertical="center" wrapText="1"/>
    </xf>
    <xf numFmtId="0" fontId="8" fillId="0" borderId="0" xfId="1" applyFont="1" applyFill="1" applyBorder="1" applyAlignment="1">
      <alignment horizontal="center" vertical="center"/>
    </xf>
    <xf numFmtId="0" fontId="7" fillId="0" borderId="0" xfId="0" applyFont="1"/>
    <xf numFmtId="0" fontId="9" fillId="0" borderId="0" xfId="0" applyFont="1" applyBorder="1" applyAlignment="1">
      <alignment horizontal="center" vertical="center"/>
    </xf>
    <xf numFmtId="0" fontId="7" fillId="0" borderId="2" xfId="0" applyFont="1" applyBorder="1"/>
    <xf numFmtId="0" fontId="7" fillId="0" borderId="3" xfId="0" applyFont="1" applyBorder="1"/>
    <xf numFmtId="0" fontId="7" fillId="0" borderId="0" xfId="0" applyFont="1" applyAlignment="1">
      <alignment horizontal="center" vertical="center"/>
    </xf>
    <xf numFmtId="14" fontId="7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9" fillId="0" borderId="0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11" fillId="0" borderId="19" xfId="1" applyFont="1" applyFill="1" applyBorder="1" applyAlignment="1">
      <alignment horizontal="center" vertical="center"/>
    </xf>
    <xf numFmtId="0" fontId="11" fillId="0" borderId="9" xfId="1" applyFont="1" applyFill="1" applyBorder="1" applyAlignment="1">
      <alignment horizontal="center" vertical="center"/>
    </xf>
    <xf numFmtId="0" fontId="11" fillId="0" borderId="8" xfId="1" applyFont="1" applyFill="1" applyBorder="1" applyAlignment="1">
      <alignment horizontal="center" vertical="center"/>
    </xf>
    <xf numFmtId="0" fontId="11" fillId="0" borderId="20" xfId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0" fillId="0" borderId="13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8" fillId="0" borderId="0" xfId="1" applyFont="1" applyFill="1" applyBorder="1" applyAlignment="1">
      <alignment horizontal="left" vertical="center"/>
    </xf>
    <xf numFmtId="0" fontId="8" fillId="0" borderId="0" xfId="1" applyFont="1" applyFill="1" applyBorder="1" applyAlignment="1">
      <alignment horizontal="center" vertical="center" wrapText="1"/>
    </xf>
    <xf numFmtId="0" fontId="15" fillId="0" borderId="0" xfId="2" applyFont="1" applyFill="1" applyBorder="1" applyAlignment="1">
      <alignment horizontal="left" vertical="center" wrapText="1"/>
    </xf>
    <xf numFmtId="0" fontId="15" fillId="0" borderId="0" xfId="2" applyFont="1" applyFill="1" applyBorder="1" applyAlignment="1">
      <alignment horizontal="center" vertical="center" wrapText="1"/>
    </xf>
    <xf numFmtId="0" fontId="11" fillId="0" borderId="0" xfId="1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left" vertical="center"/>
    </xf>
    <xf numFmtId="0" fontId="7" fillId="2" borderId="5" xfId="0" applyFont="1" applyFill="1" applyBorder="1" applyAlignment="1">
      <alignment horizontal="left" vertical="center" wrapText="1"/>
    </xf>
    <xf numFmtId="0" fontId="7" fillId="2" borderId="21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2" fontId="7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15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left" vertical="center"/>
    </xf>
    <xf numFmtId="0" fontId="7" fillId="0" borderId="16" xfId="0" applyFont="1" applyFill="1" applyBorder="1" applyAlignment="1">
      <alignment horizontal="center" vertical="center"/>
    </xf>
    <xf numFmtId="14" fontId="11" fillId="2" borderId="5" xfId="0" applyNumberFormat="1" applyFont="1" applyFill="1" applyBorder="1" applyAlignment="1">
      <alignment horizontal="center" vertical="center"/>
    </xf>
    <xf numFmtId="2" fontId="7" fillId="2" borderId="5" xfId="0" applyNumberFormat="1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left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7" fillId="0" borderId="2" xfId="0" applyNumberFormat="1" applyFont="1" applyBorder="1" applyAlignment="1">
      <alignment horizontal="center" vertical="center"/>
    </xf>
    <xf numFmtId="0" fontId="7" fillId="0" borderId="2" xfId="0" applyFont="1" applyFill="1" applyBorder="1" applyAlignment="1">
      <alignment horizontal="left" vertical="center"/>
    </xf>
    <xf numFmtId="0" fontId="7" fillId="0" borderId="2" xfId="0" applyFont="1" applyFill="1" applyBorder="1" applyAlignment="1">
      <alignment horizontal="left" vertical="center" wrapText="1"/>
    </xf>
    <xf numFmtId="0" fontId="7" fillId="0" borderId="23" xfId="0" applyFont="1" applyFill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left" vertical="center"/>
    </xf>
    <xf numFmtId="14" fontId="7" fillId="0" borderId="2" xfId="0" applyNumberFormat="1" applyFont="1" applyFill="1" applyBorder="1" applyAlignment="1">
      <alignment horizontal="center" vertical="center"/>
    </xf>
    <xf numFmtId="14" fontId="16" fillId="0" borderId="2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1" fillId="0" borderId="2" xfId="1" applyFont="1" applyFill="1" applyBorder="1" applyAlignment="1">
      <alignment horizontal="left" vertical="center"/>
    </xf>
    <xf numFmtId="0" fontId="11" fillId="0" borderId="2" xfId="1" applyFont="1" applyFill="1" applyBorder="1" applyAlignment="1">
      <alignment horizontal="center" vertical="center"/>
    </xf>
    <xf numFmtId="0" fontId="11" fillId="0" borderId="2" xfId="1" applyFont="1" applyBorder="1" applyAlignment="1">
      <alignment horizontal="center" vertical="center"/>
    </xf>
    <xf numFmtId="0" fontId="17" fillId="0" borderId="2" xfId="0" applyFont="1" applyFill="1" applyBorder="1" applyAlignment="1">
      <alignment horizontal="center" vertical="center"/>
    </xf>
    <xf numFmtId="14" fontId="11" fillId="0" borderId="2" xfId="0" applyNumberFormat="1" applyFont="1" applyBorder="1" applyAlignment="1">
      <alignment horizontal="center" vertical="center"/>
    </xf>
    <xf numFmtId="0" fontId="17" fillId="0" borderId="2" xfId="0" applyFont="1" applyFill="1" applyBorder="1" applyAlignment="1">
      <alignment horizontal="left" vertical="center"/>
    </xf>
    <xf numFmtId="2" fontId="7" fillId="0" borderId="2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18" fillId="0" borderId="2" xfId="0" applyFont="1" applyFill="1" applyBorder="1" applyAlignment="1">
      <alignment horizontal="center" vertical="center"/>
    </xf>
    <xf numFmtId="0" fontId="19" fillId="0" borderId="2" xfId="0" applyFont="1" applyFill="1" applyBorder="1" applyAlignment="1">
      <alignment horizontal="center" vertical="center"/>
    </xf>
    <xf numFmtId="0" fontId="19" fillId="0" borderId="2" xfId="0" applyFont="1" applyBorder="1" applyAlignment="1">
      <alignment horizontal="left" vertical="center"/>
    </xf>
    <xf numFmtId="0" fontId="19" fillId="0" borderId="2" xfId="0" applyFont="1" applyBorder="1"/>
    <xf numFmtId="0" fontId="7" fillId="4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7" fillId="4" borderId="2" xfId="0" applyNumberFormat="1" applyFont="1" applyFill="1" applyBorder="1" applyAlignment="1">
      <alignment horizontal="center" vertical="center"/>
    </xf>
    <xf numFmtId="14" fontId="7" fillId="4" borderId="2" xfId="0" applyNumberFormat="1" applyFont="1" applyFill="1" applyBorder="1" applyAlignment="1">
      <alignment horizontal="center" vertical="center"/>
    </xf>
    <xf numFmtId="2" fontId="7" fillId="4" borderId="2" xfId="0" applyNumberFormat="1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left" vertical="center"/>
    </xf>
    <xf numFmtId="0" fontId="11" fillId="4" borderId="2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left" vertical="center"/>
    </xf>
    <xf numFmtId="0" fontId="7" fillId="5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14" fontId="7" fillId="5" borderId="2" xfId="0" applyNumberFormat="1" applyFont="1" applyFill="1" applyBorder="1" applyAlignment="1">
      <alignment horizontal="center" vertical="center"/>
    </xf>
    <xf numFmtId="2" fontId="7" fillId="5" borderId="2" xfId="0" applyNumberFormat="1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left" vertical="center" wrapText="1"/>
    </xf>
    <xf numFmtId="0" fontId="7" fillId="4" borderId="23" xfId="0" applyFont="1" applyFill="1" applyBorder="1" applyAlignment="1">
      <alignment horizontal="center" vertical="center"/>
    </xf>
    <xf numFmtId="0" fontId="7" fillId="4" borderId="24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22" fontId="7" fillId="6" borderId="2" xfId="0" applyNumberFormat="1" applyFont="1" applyFill="1" applyBorder="1" applyAlignment="1">
      <alignment horizontal="center" vertical="center"/>
    </xf>
    <xf numFmtId="14" fontId="7" fillId="6" borderId="2" xfId="0" applyNumberFormat="1" applyFont="1" applyFill="1" applyBorder="1" applyAlignment="1">
      <alignment horizontal="center" vertical="center"/>
    </xf>
    <xf numFmtId="2" fontId="7" fillId="6" borderId="2" xfId="0" applyNumberFormat="1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left" vertical="center" wrapText="1"/>
    </xf>
    <xf numFmtId="0" fontId="7" fillId="6" borderId="23" xfId="0" applyFont="1" applyFill="1" applyBorder="1" applyAlignment="1">
      <alignment horizontal="center" vertical="center"/>
    </xf>
    <xf numFmtId="0" fontId="7" fillId="6" borderId="24" xfId="0" applyFont="1" applyFill="1" applyBorder="1" applyAlignment="1">
      <alignment horizontal="center" vertical="center"/>
    </xf>
    <xf numFmtId="14" fontId="16" fillId="6" borderId="2" xfId="0" applyNumberFormat="1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left" vertical="center"/>
    </xf>
    <xf numFmtId="0" fontId="16" fillId="6" borderId="2" xfId="0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 wrapText="1"/>
    </xf>
    <xf numFmtId="14" fontId="7" fillId="6" borderId="2" xfId="0" applyNumberFormat="1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14" fontId="11" fillId="6" borderId="3" xfId="0" applyNumberFormat="1" applyFont="1" applyFill="1" applyBorder="1" applyAlignment="1">
      <alignment horizontal="center" vertical="center"/>
    </xf>
    <xf numFmtId="2" fontId="7" fillId="6" borderId="3" xfId="0" applyNumberFormat="1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left" vertical="center"/>
    </xf>
    <xf numFmtId="0" fontId="7" fillId="6" borderId="3" xfId="0" applyFont="1" applyFill="1" applyBorder="1" applyAlignment="1">
      <alignment horizontal="left" vertical="center"/>
    </xf>
    <xf numFmtId="0" fontId="7" fillId="6" borderId="3" xfId="0" applyFont="1" applyFill="1" applyBorder="1" applyAlignment="1">
      <alignment horizontal="left" vertical="center" wrapText="1"/>
    </xf>
    <xf numFmtId="0" fontId="7" fillId="6" borderId="25" xfId="0" applyFont="1" applyFill="1" applyBorder="1" applyAlignment="1">
      <alignment horizontal="center" vertical="center"/>
    </xf>
    <xf numFmtId="0" fontId="7" fillId="6" borderId="26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14" fontId="7" fillId="6" borderId="1" xfId="0" applyNumberFormat="1" applyFont="1" applyFill="1" applyBorder="1" applyAlignment="1">
      <alignment horizontal="center" vertical="center"/>
    </xf>
    <xf numFmtId="2" fontId="7" fillId="6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 wrapText="1"/>
    </xf>
    <xf numFmtId="0" fontId="7" fillId="6" borderId="27" xfId="0" applyFont="1" applyFill="1" applyBorder="1" applyAlignment="1">
      <alignment horizontal="center" vertical="center"/>
    </xf>
    <xf numFmtId="0" fontId="7" fillId="6" borderId="28" xfId="0" applyFont="1" applyFill="1" applyBorder="1" applyAlignment="1">
      <alignment horizontal="center" vertical="center"/>
    </xf>
    <xf numFmtId="49" fontId="11" fillId="6" borderId="2" xfId="1" applyNumberFormat="1" applyFont="1" applyFill="1" applyBorder="1" applyAlignment="1">
      <alignment horizontal="center" vertical="center"/>
    </xf>
    <xf numFmtId="0" fontId="11" fillId="6" borderId="2" xfId="1" applyFont="1" applyFill="1" applyBorder="1" applyAlignment="1">
      <alignment horizontal="left" vertical="center"/>
    </xf>
    <xf numFmtId="0" fontId="11" fillId="6" borderId="2" xfId="1" applyFont="1" applyFill="1" applyBorder="1" applyAlignment="1">
      <alignment horizontal="left" vertical="center" wrapText="1"/>
    </xf>
    <xf numFmtId="0" fontId="11" fillId="6" borderId="2" xfId="1" applyFont="1" applyFill="1" applyBorder="1" applyAlignment="1">
      <alignment horizontal="center" vertical="center"/>
    </xf>
    <xf numFmtId="0" fontId="11" fillId="6" borderId="23" xfId="1" applyFont="1" applyFill="1" applyBorder="1" applyAlignment="1">
      <alignment horizontal="center" vertical="center"/>
    </xf>
    <xf numFmtId="0" fontId="11" fillId="6" borderId="24" xfId="1" applyFont="1" applyFill="1" applyBorder="1" applyAlignment="1">
      <alignment horizontal="center" vertical="center"/>
    </xf>
    <xf numFmtId="0" fontId="17" fillId="6" borderId="2" xfId="2" applyFont="1" applyFill="1" applyBorder="1" applyAlignment="1">
      <alignment horizontal="center" vertical="center" wrapText="1"/>
    </xf>
    <xf numFmtId="0" fontId="17" fillId="6" borderId="2" xfId="2" applyFont="1" applyFill="1" applyBorder="1" applyAlignment="1">
      <alignment horizontal="left" vertical="center" wrapText="1"/>
    </xf>
    <xf numFmtId="0" fontId="11" fillId="6" borderId="2" xfId="3" applyFont="1" applyFill="1" applyBorder="1" applyAlignment="1">
      <alignment horizontal="center" vertical="center"/>
    </xf>
    <xf numFmtId="0" fontId="11" fillId="6" borderId="2" xfId="3" applyFont="1" applyFill="1" applyBorder="1" applyAlignment="1">
      <alignment horizontal="left" vertical="center"/>
    </xf>
    <xf numFmtId="0" fontId="17" fillId="6" borderId="2" xfId="0" applyFont="1" applyFill="1" applyBorder="1" applyAlignment="1">
      <alignment horizontal="center" vertical="center"/>
    </xf>
    <xf numFmtId="14" fontId="11" fillId="6" borderId="2" xfId="0" applyNumberFormat="1" applyFont="1" applyFill="1" applyBorder="1" applyAlignment="1">
      <alignment horizontal="center" vertical="center"/>
    </xf>
    <xf numFmtId="0" fontId="17" fillId="6" borderId="2" xfId="0" applyFont="1" applyFill="1" applyBorder="1" applyAlignment="1">
      <alignment horizontal="left" vertical="center"/>
    </xf>
    <xf numFmtId="0" fontId="19" fillId="6" borderId="2" xfId="0" applyFont="1" applyFill="1" applyBorder="1" applyAlignment="1">
      <alignment horizontal="center" vertical="center"/>
    </xf>
    <xf numFmtId="2" fontId="11" fillId="6" borderId="2" xfId="0" applyNumberFormat="1" applyFont="1" applyFill="1" applyBorder="1" applyAlignment="1">
      <alignment horizontal="left" vertical="center"/>
    </xf>
    <xf numFmtId="0" fontId="7" fillId="6" borderId="29" xfId="0" applyFont="1" applyFill="1" applyBorder="1" applyAlignment="1">
      <alignment horizontal="center" vertical="center"/>
    </xf>
    <xf numFmtId="0" fontId="7" fillId="6" borderId="30" xfId="0" applyFont="1" applyFill="1" applyBorder="1" applyAlignment="1">
      <alignment horizontal="center" vertical="center"/>
    </xf>
    <xf numFmtId="0" fontId="7" fillId="6" borderId="31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1" fillId="4" borderId="2" xfId="3" applyFont="1" applyFill="1" applyBorder="1" applyAlignment="1">
      <alignment horizontal="center" vertical="center"/>
    </xf>
    <xf numFmtId="14" fontId="11" fillId="4" borderId="2" xfId="0" applyNumberFormat="1" applyFont="1" applyFill="1" applyBorder="1" applyAlignment="1">
      <alignment horizontal="center" vertical="center"/>
    </xf>
    <xf numFmtId="0" fontId="11" fillId="4" borderId="2" xfId="3" applyFont="1" applyFill="1" applyBorder="1" applyAlignment="1">
      <alignment horizontal="left" vertical="center"/>
    </xf>
    <xf numFmtId="49" fontId="11" fillId="4" borderId="2" xfId="1" applyNumberFormat="1" applyFont="1" applyFill="1" applyBorder="1" applyAlignment="1">
      <alignment horizontal="center" vertical="center"/>
    </xf>
    <xf numFmtId="0" fontId="11" fillId="4" borderId="2" xfId="1" applyFont="1" applyFill="1" applyBorder="1" applyAlignment="1">
      <alignment horizontal="center" vertical="center"/>
    </xf>
    <xf numFmtId="0" fontId="11" fillId="4" borderId="2" xfId="1" applyFont="1" applyFill="1" applyBorder="1" applyAlignment="1">
      <alignment horizontal="left" vertical="center"/>
    </xf>
    <xf numFmtId="0" fontId="17" fillId="4" borderId="2" xfId="2" applyFont="1" applyFill="1" applyBorder="1" applyAlignment="1">
      <alignment horizontal="left" vertical="center" wrapText="1"/>
    </xf>
    <xf numFmtId="0" fontId="17" fillId="4" borderId="2" xfId="2" applyFont="1" applyFill="1" applyBorder="1" applyAlignment="1">
      <alignment horizontal="center" vertical="center" wrapText="1"/>
    </xf>
    <xf numFmtId="0" fontId="11" fillId="4" borderId="23" xfId="1" applyFont="1" applyFill="1" applyBorder="1" applyAlignment="1">
      <alignment horizontal="center" vertical="center"/>
    </xf>
    <xf numFmtId="0" fontId="11" fillId="4" borderId="24" xfId="1" applyFont="1" applyFill="1" applyBorder="1" applyAlignment="1">
      <alignment horizontal="center" vertical="center"/>
    </xf>
    <xf numFmtId="0" fontId="14" fillId="0" borderId="32" xfId="0" applyFont="1" applyBorder="1" applyAlignment="1">
      <alignment horizontal="left" vertical="center"/>
    </xf>
    <xf numFmtId="0" fontId="14" fillId="0" borderId="15" xfId="0" applyFont="1" applyBorder="1" applyAlignment="1">
      <alignment horizontal="left" vertical="center"/>
    </xf>
    <xf numFmtId="0" fontId="14" fillId="0" borderId="33" xfId="0" applyFont="1" applyBorder="1" applyAlignment="1">
      <alignment horizontal="left" vertical="center"/>
    </xf>
    <xf numFmtId="0" fontId="14" fillId="0" borderId="34" xfId="0" applyFont="1" applyBorder="1" applyAlignment="1">
      <alignment horizontal="left" vertical="center"/>
    </xf>
    <xf numFmtId="0" fontId="14" fillId="0" borderId="16" xfId="0" applyFont="1" applyBorder="1" applyAlignment="1">
      <alignment horizontal="left" vertical="center"/>
    </xf>
    <xf numFmtId="0" fontId="14" fillId="0" borderId="35" xfId="0" applyFont="1" applyBorder="1" applyAlignment="1">
      <alignment horizontal="left" vertical="center"/>
    </xf>
    <xf numFmtId="0" fontId="12" fillId="3" borderId="10" xfId="0" applyFont="1" applyFill="1" applyBorder="1" applyAlignment="1">
      <alignment horizontal="center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3" fillId="3" borderId="11" xfId="0" applyFont="1" applyFill="1" applyBorder="1" applyAlignment="1">
      <alignment horizontal="left" vertical="center"/>
    </xf>
    <xf numFmtId="0" fontId="13" fillId="3" borderId="7" xfId="0" applyFont="1" applyFill="1" applyBorder="1" applyAlignment="1">
      <alignment horizontal="left" vertical="center"/>
    </xf>
    <xf numFmtId="0" fontId="13" fillId="3" borderId="11" xfId="1" applyFont="1" applyFill="1" applyBorder="1" applyAlignment="1">
      <alignment horizontal="left" vertical="center"/>
    </xf>
    <xf numFmtId="0" fontId="13" fillId="3" borderId="7" xfId="1" applyFont="1" applyFill="1" applyBorder="1" applyAlignment="1">
      <alignment horizontal="left" vertical="center"/>
    </xf>
    <xf numFmtId="0" fontId="8" fillId="0" borderId="11" xfId="1" applyFont="1" applyFill="1" applyBorder="1" applyAlignment="1">
      <alignment horizontal="center" vertical="center"/>
    </xf>
    <xf numFmtId="0" fontId="8" fillId="0" borderId="7" xfId="1" applyFont="1" applyFill="1" applyBorder="1" applyAlignment="1">
      <alignment horizontal="center" vertical="center"/>
    </xf>
    <xf numFmtId="0" fontId="15" fillId="0" borderId="11" xfId="2" applyFont="1" applyFill="1" applyBorder="1" applyAlignment="1">
      <alignment horizontal="left" vertical="center" wrapText="1"/>
    </xf>
    <xf numFmtId="0" fontId="15" fillId="0" borderId="7" xfId="2" applyFont="1" applyFill="1" applyBorder="1" applyAlignment="1">
      <alignment horizontal="left" vertical="center" wrapText="1"/>
    </xf>
    <xf numFmtId="0" fontId="15" fillId="0" borderId="11" xfId="2" applyFont="1" applyFill="1" applyBorder="1" applyAlignment="1">
      <alignment horizontal="center" vertical="center" wrapText="1"/>
    </xf>
    <xf numFmtId="0" fontId="15" fillId="0" borderId="7" xfId="2" applyFont="1" applyFill="1" applyBorder="1" applyAlignment="1">
      <alignment horizontal="center" vertical="center" wrapText="1"/>
    </xf>
    <xf numFmtId="0" fontId="10" fillId="0" borderId="11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8" fillId="0" borderId="11" xfId="1" applyFont="1" applyFill="1" applyBorder="1" applyAlignment="1">
      <alignment horizontal="center" vertical="center" wrapText="1"/>
    </xf>
    <xf numFmtId="0" fontId="8" fillId="0" borderId="7" xfId="1" applyFont="1" applyFill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7" fillId="2" borderId="4" xfId="0" applyFont="1" applyFill="1" applyBorder="1" applyAlignment="1">
      <alignment horizontal="left" vertical="center"/>
    </xf>
    <xf numFmtId="0" fontId="7" fillId="2" borderId="5" xfId="0" applyFont="1" applyFill="1" applyBorder="1" applyAlignment="1">
      <alignment horizontal="left" vertical="center"/>
    </xf>
    <xf numFmtId="0" fontId="7" fillId="0" borderId="10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15" fillId="0" borderId="18" xfId="2" applyFont="1" applyFill="1" applyBorder="1" applyAlignment="1">
      <alignment horizontal="center" vertical="center" wrapText="1"/>
    </xf>
    <xf numFmtId="0" fontId="15" fillId="0" borderId="20" xfId="2" applyFont="1" applyFill="1" applyBorder="1" applyAlignment="1">
      <alignment horizontal="center" vertical="center" wrapText="1"/>
    </xf>
    <xf numFmtId="0" fontId="15" fillId="0" borderId="17" xfId="2" applyFont="1" applyFill="1" applyBorder="1" applyAlignment="1">
      <alignment horizontal="center" vertical="center" wrapText="1"/>
    </xf>
    <xf numFmtId="0" fontId="15" fillId="0" borderId="19" xfId="2" applyFont="1" applyFill="1" applyBorder="1" applyAlignment="1">
      <alignment horizontal="center" vertical="center" wrapText="1"/>
    </xf>
    <xf numFmtId="0" fontId="8" fillId="0" borderId="18" xfId="1" applyFont="1" applyFill="1" applyBorder="1" applyAlignment="1">
      <alignment horizontal="center" vertical="center" wrapText="1"/>
    </xf>
    <xf numFmtId="0" fontId="8" fillId="0" borderId="20" xfId="1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</cellXfs>
  <cellStyles count="22">
    <cellStyle name="Excel Built-in Normal" xfId="3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Normal" xfId="0" builtinId="0"/>
    <cellStyle name="Normal 3" xfId="1"/>
    <cellStyle name="Normal_controles" xfId="2"/>
  </cellStyles>
  <dxfs count="0"/>
  <tableStyles count="0" defaultTableStyle="TableStyleMedium2" defaultPivotStyle="PivotStyleLight16"/>
  <colors>
    <mruColors>
      <color rgb="FFFFF1CC"/>
      <color rgb="FFE7F1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Tema de Office">
  <a:themeElements>
    <a:clrScheme name="Solsticio">
      <a:dk1>
        <a:sysClr val="windowText" lastClr="000000"/>
      </a:dk1>
      <a:lt1>
        <a:sysClr val="window" lastClr="FFFFFF"/>
      </a:lt1>
      <a:dk2>
        <a:srgbClr val="4F271C"/>
      </a:dk2>
      <a:lt2>
        <a:srgbClr val="E7DEC9"/>
      </a:lt2>
      <a:accent1>
        <a:srgbClr val="3891A7"/>
      </a:accent1>
      <a:accent2>
        <a:srgbClr val="FEB80A"/>
      </a:accent2>
      <a:accent3>
        <a:srgbClr val="C32D2E"/>
      </a:accent3>
      <a:accent4>
        <a:srgbClr val="84AA33"/>
      </a:accent4>
      <a:accent5>
        <a:srgbClr val="964305"/>
      </a:accent5>
      <a:accent6>
        <a:srgbClr val="475A8D"/>
      </a:accent6>
      <a:hlink>
        <a:srgbClr val="8DC765"/>
      </a:hlink>
      <a:folHlink>
        <a:srgbClr val="AA8A14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50"/>
  <sheetViews>
    <sheetView showGridLines="0" workbookViewId="0">
      <selection activeCell="E15" sqref="E15"/>
    </sheetView>
  </sheetViews>
  <sheetFormatPr baseColWidth="10" defaultColWidth="10.6640625" defaultRowHeight="13" x14ac:dyDescent="0"/>
  <cols>
    <col min="1" max="1" width="10.6640625" style="3"/>
    <col min="2" max="2" width="12" style="7" customWidth="1"/>
    <col min="3" max="3" width="12.33203125" style="12" customWidth="1"/>
    <col min="4" max="5" width="66.6640625" style="3" customWidth="1"/>
    <col min="6" max="16384" width="10.6640625" style="3"/>
  </cols>
  <sheetData>
    <row r="1" spans="2:5" ht="14" thickBot="1"/>
    <row r="2" spans="2:5">
      <c r="B2" s="159" t="s">
        <v>688</v>
      </c>
      <c r="C2" s="160"/>
      <c r="D2" s="160"/>
      <c r="E2" s="161"/>
    </row>
    <row r="3" spans="2:5" ht="14" thickBot="1">
      <c r="B3" s="162"/>
      <c r="C3" s="163"/>
      <c r="D3" s="163"/>
      <c r="E3" s="164"/>
    </row>
    <row r="4" spans="2:5" ht="14" thickBot="1"/>
    <row r="5" spans="2:5">
      <c r="B5" s="165" t="s">
        <v>680</v>
      </c>
      <c r="C5" s="167" t="s">
        <v>681</v>
      </c>
      <c r="D5" s="169" t="s">
        <v>682</v>
      </c>
      <c r="E5" s="169" t="s">
        <v>683</v>
      </c>
    </row>
    <row r="6" spans="2:5" ht="8" customHeight="1" thickBot="1">
      <c r="B6" s="166"/>
      <c r="C6" s="168"/>
      <c r="D6" s="170"/>
      <c r="E6" s="170"/>
    </row>
    <row r="7" spans="2:5" ht="7.25" customHeight="1" thickTop="1">
      <c r="B7" s="1"/>
      <c r="C7" s="11"/>
      <c r="D7" s="2"/>
      <c r="E7" s="2"/>
    </row>
    <row r="8" spans="2:5">
      <c r="B8" s="8">
        <v>44252</v>
      </c>
      <c r="C8" s="13" t="s">
        <v>684</v>
      </c>
      <c r="D8" s="5" t="s">
        <v>685</v>
      </c>
      <c r="E8" s="5" t="s">
        <v>686</v>
      </c>
    </row>
    <row r="9" spans="2:5">
      <c r="B9" s="8">
        <v>44253</v>
      </c>
      <c r="C9" s="13" t="s">
        <v>684</v>
      </c>
      <c r="D9" s="5" t="s">
        <v>690</v>
      </c>
      <c r="E9" s="5" t="s">
        <v>687</v>
      </c>
    </row>
    <row r="10" spans="2:5">
      <c r="B10" s="8">
        <v>44256</v>
      </c>
      <c r="C10" s="13" t="s">
        <v>691</v>
      </c>
      <c r="D10" s="76" t="s">
        <v>700</v>
      </c>
      <c r="E10" s="5" t="s">
        <v>692</v>
      </c>
    </row>
    <row r="11" spans="2:5">
      <c r="B11" s="8">
        <v>44256</v>
      </c>
      <c r="C11" s="75" t="s">
        <v>691</v>
      </c>
      <c r="D11" s="76" t="s">
        <v>699</v>
      </c>
      <c r="E11" s="76" t="s">
        <v>701</v>
      </c>
    </row>
    <row r="12" spans="2:5">
      <c r="B12" s="8">
        <v>44265</v>
      </c>
      <c r="C12" s="13" t="s">
        <v>684</v>
      </c>
      <c r="D12" s="5" t="s">
        <v>703</v>
      </c>
      <c r="E12" s="5" t="s">
        <v>704</v>
      </c>
    </row>
    <row r="13" spans="2:5">
      <c r="B13" s="8">
        <v>44274</v>
      </c>
      <c r="C13" s="13" t="s">
        <v>684</v>
      </c>
      <c r="D13" s="5" t="s">
        <v>706</v>
      </c>
      <c r="E13" s="5" t="s">
        <v>707</v>
      </c>
    </row>
    <row r="14" spans="2:5">
      <c r="B14" s="8">
        <v>44285</v>
      </c>
      <c r="C14" s="13" t="s">
        <v>684</v>
      </c>
      <c r="D14" s="5" t="s">
        <v>720</v>
      </c>
      <c r="E14" s="5" t="s">
        <v>721</v>
      </c>
    </row>
    <row r="15" spans="2:5">
      <c r="B15" s="8">
        <v>44308</v>
      </c>
      <c r="C15" s="13" t="s">
        <v>738</v>
      </c>
      <c r="D15" s="5" t="s">
        <v>739</v>
      </c>
      <c r="E15" s="5"/>
    </row>
    <row r="16" spans="2:5">
      <c r="B16" s="9"/>
      <c r="C16" s="13"/>
      <c r="D16" s="5"/>
      <c r="E16" s="5"/>
    </row>
    <row r="17" spans="2:5">
      <c r="B17" s="9"/>
      <c r="C17" s="13"/>
      <c r="D17" s="5"/>
      <c r="E17" s="5"/>
    </row>
    <row r="18" spans="2:5">
      <c r="B18" s="9"/>
      <c r="C18" s="13"/>
      <c r="D18" s="5"/>
      <c r="E18" s="5"/>
    </row>
    <row r="19" spans="2:5">
      <c r="B19" s="9"/>
      <c r="C19" s="13"/>
      <c r="D19" s="5"/>
      <c r="E19" s="5"/>
    </row>
    <row r="20" spans="2:5">
      <c r="B20" s="9"/>
      <c r="C20" s="13"/>
      <c r="D20" s="5"/>
      <c r="E20" s="5"/>
    </row>
    <row r="21" spans="2:5">
      <c r="B21" s="9"/>
      <c r="C21" s="13"/>
      <c r="D21" s="5"/>
      <c r="E21" s="5"/>
    </row>
    <row r="22" spans="2:5">
      <c r="B22" s="9"/>
      <c r="C22" s="13"/>
      <c r="D22" s="5"/>
      <c r="E22" s="5"/>
    </row>
    <row r="23" spans="2:5">
      <c r="B23" s="9"/>
      <c r="C23" s="13"/>
      <c r="D23" s="5"/>
      <c r="E23" s="5"/>
    </row>
    <row r="24" spans="2:5">
      <c r="B24" s="9"/>
      <c r="C24" s="13"/>
      <c r="D24" s="5"/>
      <c r="E24" s="5"/>
    </row>
    <row r="25" spans="2:5">
      <c r="B25" s="9"/>
      <c r="C25" s="13"/>
      <c r="D25" s="5"/>
      <c r="E25" s="5"/>
    </row>
    <row r="26" spans="2:5">
      <c r="B26" s="9"/>
      <c r="C26" s="13"/>
      <c r="D26" s="5"/>
      <c r="E26" s="5"/>
    </row>
    <row r="27" spans="2:5">
      <c r="B27" s="9"/>
      <c r="C27" s="13"/>
      <c r="D27" s="5"/>
      <c r="E27" s="5"/>
    </row>
    <row r="28" spans="2:5">
      <c r="B28" s="9"/>
      <c r="C28" s="13"/>
      <c r="D28" s="5"/>
      <c r="E28" s="5"/>
    </row>
    <row r="29" spans="2:5">
      <c r="B29" s="9"/>
      <c r="C29" s="13"/>
      <c r="D29" s="5"/>
      <c r="E29" s="5"/>
    </row>
    <row r="30" spans="2:5">
      <c r="B30" s="9"/>
      <c r="C30" s="13"/>
      <c r="D30" s="5"/>
      <c r="E30" s="5"/>
    </row>
    <row r="31" spans="2:5">
      <c r="B31" s="9"/>
      <c r="C31" s="13"/>
      <c r="D31" s="5"/>
      <c r="E31" s="5"/>
    </row>
    <row r="32" spans="2:5">
      <c r="B32" s="9"/>
      <c r="C32" s="13"/>
      <c r="D32" s="5"/>
      <c r="E32" s="5"/>
    </row>
    <row r="33" spans="2:5">
      <c r="B33" s="9"/>
      <c r="C33" s="13"/>
      <c r="D33" s="5"/>
      <c r="E33" s="5"/>
    </row>
    <row r="34" spans="2:5">
      <c r="B34" s="9"/>
      <c r="C34" s="13"/>
      <c r="D34" s="5"/>
      <c r="E34" s="5"/>
    </row>
    <row r="35" spans="2:5">
      <c r="B35" s="9"/>
      <c r="C35" s="13"/>
      <c r="D35" s="5"/>
      <c r="E35" s="5"/>
    </row>
    <row r="36" spans="2:5">
      <c r="B36" s="9"/>
      <c r="C36" s="13"/>
      <c r="D36" s="5"/>
      <c r="E36" s="5"/>
    </row>
    <row r="37" spans="2:5">
      <c r="B37" s="9"/>
      <c r="C37" s="13"/>
      <c r="D37" s="5"/>
      <c r="E37" s="5"/>
    </row>
    <row r="38" spans="2:5">
      <c r="B38" s="9"/>
      <c r="C38" s="13"/>
      <c r="D38" s="5"/>
      <c r="E38" s="5"/>
    </row>
    <row r="39" spans="2:5">
      <c r="B39" s="9"/>
      <c r="C39" s="13"/>
      <c r="D39" s="5"/>
      <c r="E39" s="5"/>
    </row>
    <row r="40" spans="2:5">
      <c r="B40" s="9"/>
      <c r="C40" s="13"/>
      <c r="D40" s="5"/>
      <c r="E40" s="5"/>
    </row>
    <row r="41" spans="2:5">
      <c r="B41" s="9"/>
      <c r="C41" s="13"/>
      <c r="D41" s="5"/>
      <c r="E41" s="5"/>
    </row>
    <row r="42" spans="2:5">
      <c r="B42" s="9"/>
      <c r="C42" s="13"/>
      <c r="D42" s="5"/>
      <c r="E42" s="5"/>
    </row>
    <row r="43" spans="2:5">
      <c r="B43" s="9"/>
      <c r="C43" s="13"/>
      <c r="D43" s="5"/>
      <c r="E43" s="5"/>
    </row>
    <row r="44" spans="2:5">
      <c r="B44" s="9"/>
      <c r="C44" s="13"/>
      <c r="D44" s="5"/>
      <c r="E44" s="5"/>
    </row>
    <row r="45" spans="2:5">
      <c r="B45" s="9"/>
      <c r="C45" s="13"/>
      <c r="D45" s="5"/>
      <c r="E45" s="5"/>
    </row>
    <row r="46" spans="2:5">
      <c r="B46" s="9"/>
      <c r="C46" s="13"/>
      <c r="D46" s="5"/>
      <c r="E46" s="5"/>
    </row>
    <row r="47" spans="2:5">
      <c r="B47" s="9"/>
      <c r="C47" s="13"/>
      <c r="D47" s="5"/>
      <c r="E47" s="5"/>
    </row>
    <row r="48" spans="2:5">
      <c r="B48" s="9"/>
      <c r="C48" s="13"/>
      <c r="D48" s="5"/>
      <c r="E48" s="5"/>
    </row>
    <row r="49" spans="2:5">
      <c r="B49" s="9"/>
      <c r="C49" s="13"/>
      <c r="D49" s="5"/>
      <c r="E49" s="5"/>
    </row>
    <row r="50" spans="2:5">
      <c r="B50" s="10"/>
      <c r="C50" s="14"/>
      <c r="D50" s="6"/>
      <c r="E50" s="6"/>
    </row>
  </sheetData>
  <mergeCells count="5">
    <mergeCell ref="B2:E3"/>
    <mergeCell ref="B5:B6"/>
    <mergeCell ref="C5:C6"/>
    <mergeCell ref="D5:D6"/>
    <mergeCell ref="E5:E6"/>
  </mergeCells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 enableFormatConditionsCalculation="0">
    <pageSetUpPr fitToPage="1"/>
  </sheetPr>
  <dimension ref="A1:CY115"/>
  <sheetViews>
    <sheetView showGridLines="0" tabSelected="1" zoomScale="85" zoomScaleNormal="85" zoomScalePageLayoutView="85" workbookViewId="0">
      <pane xSplit="5" ySplit="3" topLeftCell="S95" activePane="bottomRight" state="frozen"/>
      <selection pane="topRight" activeCell="F1" sqref="F1"/>
      <selection pane="bottomLeft" activeCell="A3" sqref="A3"/>
      <selection pane="bottomRight" activeCell="AB112" sqref="AB112"/>
    </sheetView>
  </sheetViews>
  <sheetFormatPr baseColWidth="10" defaultColWidth="10.6640625" defaultRowHeight="13" x14ac:dyDescent="0"/>
  <cols>
    <col min="1" max="1" width="4.6640625" style="34" customWidth="1"/>
    <col min="2" max="2" width="8.6640625" style="7" bestFit="1" customWidth="1"/>
    <col min="3" max="3" width="11.6640625" style="68" customWidth="1"/>
    <col min="4" max="4" width="15.5" style="7" bestFit="1" customWidth="1"/>
    <col min="5" max="5" width="10.5" style="7" customWidth="1"/>
    <col min="6" max="6" width="12.1640625" style="7" bestFit="1" customWidth="1"/>
    <col min="7" max="7" width="34.5" style="7" bestFit="1" customWidth="1"/>
    <col min="8" max="8" width="16.5" style="7" bestFit="1" customWidth="1"/>
    <col min="9" max="9" width="45.5" style="12" bestFit="1" customWidth="1"/>
    <col min="10" max="10" width="8.33203125" style="7" bestFit="1" customWidth="1"/>
    <col min="11" max="11" width="8.33203125" style="7" customWidth="1"/>
    <col min="12" max="12" width="19.5" style="7" bestFit="1" customWidth="1"/>
    <col min="13" max="13" width="5.33203125" style="7" bestFit="1" customWidth="1"/>
    <col min="14" max="14" width="36.1640625" style="12" bestFit="1" customWidth="1"/>
    <col min="15" max="15" width="36.33203125" style="12" customWidth="1"/>
    <col min="16" max="16" width="46.33203125" style="12" customWidth="1"/>
    <col min="17" max="17" width="9" style="7" bestFit="1" customWidth="1"/>
    <col min="18" max="18" width="37.5" style="12" customWidth="1"/>
    <col min="19" max="20" width="7.6640625" style="7" customWidth="1"/>
    <col min="21" max="21" width="10.6640625" style="7" customWidth="1"/>
    <col min="22" max="22" width="10.6640625" style="7"/>
    <col min="23" max="23" width="22.33203125" style="7" bestFit="1" customWidth="1"/>
    <col min="24" max="24" width="10.6640625" style="7"/>
    <col min="25" max="25" width="22.33203125" style="7" bestFit="1" customWidth="1"/>
    <col min="26" max="26" width="10.6640625" style="7"/>
    <col min="27" max="27" width="22.33203125" style="7" bestFit="1" customWidth="1"/>
    <col min="28" max="39" width="10.6640625" style="69"/>
    <col min="40" max="103" width="10.6640625" style="33"/>
    <col min="104" max="16384" width="10.6640625" style="34"/>
  </cols>
  <sheetData>
    <row r="1" spans="1:50" ht="21" customHeight="1" thickBot="1"/>
    <row r="2" spans="1:50" ht="21" customHeight="1">
      <c r="B2" s="188" t="s">
        <v>304</v>
      </c>
      <c r="C2" s="181"/>
      <c r="D2" s="171" t="s">
        <v>1</v>
      </c>
      <c r="E2" s="171" t="s">
        <v>305</v>
      </c>
      <c r="F2" s="171" t="s">
        <v>38</v>
      </c>
      <c r="G2" s="171" t="s">
        <v>107</v>
      </c>
      <c r="H2" s="177" t="s">
        <v>311</v>
      </c>
      <c r="I2" s="171" t="s">
        <v>41</v>
      </c>
      <c r="J2" s="171" t="s">
        <v>42</v>
      </c>
      <c r="K2" s="179" t="s">
        <v>689</v>
      </c>
      <c r="L2" s="179" t="s">
        <v>40</v>
      </c>
      <c r="M2" s="171" t="s">
        <v>39</v>
      </c>
      <c r="N2" s="171" t="s">
        <v>35</v>
      </c>
      <c r="O2" s="173" t="s">
        <v>36</v>
      </c>
      <c r="P2" s="175" t="s">
        <v>37</v>
      </c>
      <c r="Q2" s="175" t="s">
        <v>123</v>
      </c>
      <c r="R2" s="190" t="s">
        <v>122</v>
      </c>
      <c r="S2" s="192" t="s">
        <v>0</v>
      </c>
      <c r="T2" s="179" t="s">
        <v>702</v>
      </c>
      <c r="U2" s="194" t="s">
        <v>723</v>
      </c>
      <c r="V2" s="196" t="s">
        <v>630</v>
      </c>
      <c r="W2" s="184"/>
      <c r="X2" s="183" t="s">
        <v>633</v>
      </c>
      <c r="Y2" s="184"/>
      <c r="Z2" s="183" t="s">
        <v>634</v>
      </c>
      <c r="AA2" s="185"/>
    </row>
    <row r="3" spans="1:50" s="21" customFormat="1" ht="15" customHeight="1" thickBot="1">
      <c r="A3" s="33"/>
      <c r="B3" s="189"/>
      <c r="C3" s="182"/>
      <c r="D3" s="172"/>
      <c r="E3" s="172"/>
      <c r="F3" s="172"/>
      <c r="G3" s="172"/>
      <c r="H3" s="178"/>
      <c r="I3" s="172"/>
      <c r="J3" s="172"/>
      <c r="K3" s="172"/>
      <c r="L3" s="180"/>
      <c r="M3" s="172"/>
      <c r="N3" s="172"/>
      <c r="O3" s="174"/>
      <c r="P3" s="176"/>
      <c r="Q3" s="176"/>
      <c r="R3" s="191"/>
      <c r="S3" s="193"/>
      <c r="T3" s="180"/>
      <c r="U3" s="195"/>
      <c r="V3" s="15" t="s">
        <v>631</v>
      </c>
      <c r="W3" s="16" t="s">
        <v>632</v>
      </c>
      <c r="X3" s="17" t="s">
        <v>631</v>
      </c>
      <c r="Y3" s="16" t="s">
        <v>632</v>
      </c>
      <c r="Z3" s="17" t="s">
        <v>631</v>
      </c>
      <c r="AA3" s="18" t="s">
        <v>632</v>
      </c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20"/>
    </row>
    <row r="4" spans="1:50" s="19" customFormat="1" ht="5" customHeight="1" thickTop="1" thickBot="1">
      <c r="A4" s="33"/>
      <c r="B4" s="1"/>
      <c r="C4" s="4"/>
      <c r="D4" s="2"/>
      <c r="E4" s="2"/>
      <c r="F4" s="2"/>
      <c r="G4" s="2"/>
      <c r="I4" s="22"/>
      <c r="J4" s="2"/>
      <c r="K4" s="2"/>
      <c r="L4" s="23"/>
      <c r="M4" s="2"/>
      <c r="N4" s="22"/>
      <c r="O4" s="24"/>
      <c r="P4" s="24"/>
      <c r="Q4" s="25"/>
      <c r="R4" s="24"/>
      <c r="S4" s="25"/>
      <c r="T4" s="2"/>
      <c r="U4" s="2"/>
      <c r="V4" s="26"/>
      <c r="W4" s="26"/>
      <c r="X4" s="26"/>
      <c r="Y4" s="26"/>
      <c r="Z4" s="26"/>
      <c r="AA4" s="26"/>
    </row>
    <row r="5" spans="1:50" ht="32" customHeight="1" thickBot="1">
      <c r="B5" s="186" t="s">
        <v>386</v>
      </c>
      <c r="C5" s="187"/>
      <c r="D5" s="187"/>
      <c r="E5" s="187"/>
      <c r="F5" s="186"/>
      <c r="G5" s="187"/>
      <c r="H5" s="187"/>
      <c r="I5" s="187"/>
      <c r="J5" s="27"/>
      <c r="K5" s="27"/>
      <c r="L5" s="27"/>
      <c r="M5" s="27"/>
      <c r="N5" s="28"/>
      <c r="O5" s="29"/>
      <c r="P5" s="28"/>
      <c r="Q5" s="27"/>
      <c r="R5" s="28"/>
      <c r="S5" s="30"/>
      <c r="T5" s="27"/>
      <c r="U5" s="31"/>
      <c r="V5" s="27">
        <v>2</v>
      </c>
      <c r="W5" s="27" t="s">
        <v>740</v>
      </c>
      <c r="X5" s="27">
        <v>1</v>
      </c>
      <c r="Y5" s="27" t="s">
        <v>741</v>
      </c>
      <c r="Z5" s="27">
        <v>3</v>
      </c>
      <c r="AA5" s="27" t="s">
        <v>722</v>
      </c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32"/>
    </row>
    <row r="6" spans="1:50" ht="32" customHeight="1">
      <c r="B6" s="77" t="s">
        <v>2</v>
      </c>
      <c r="C6" s="78"/>
      <c r="D6" s="77" t="s">
        <v>4</v>
      </c>
      <c r="E6" s="79">
        <v>1248633</v>
      </c>
      <c r="F6" s="80">
        <v>39932</v>
      </c>
      <c r="G6" s="80">
        <v>40578</v>
      </c>
      <c r="H6" s="81">
        <f>(G6-F6)/365.25</f>
        <v>1.7686516084873374</v>
      </c>
      <c r="I6" s="82" t="s">
        <v>3</v>
      </c>
      <c r="J6" s="77" t="s">
        <v>19</v>
      </c>
      <c r="K6" s="77"/>
      <c r="L6" s="77" t="s">
        <v>34</v>
      </c>
      <c r="M6" s="77" t="s">
        <v>24</v>
      </c>
      <c r="N6" s="82" t="s">
        <v>103</v>
      </c>
      <c r="O6" s="91" t="s">
        <v>55</v>
      </c>
      <c r="P6" s="82" t="s">
        <v>56</v>
      </c>
      <c r="Q6" s="77" t="s">
        <v>32</v>
      </c>
      <c r="R6" s="82" t="s">
        <v>47</v>
      </c>
      <c r="S6" s="92"/>
      <c r="T6" s="77"/>
      <c r="U6" s="93"/>
      <c r="V6" s="9"/>
      <c r="W6" s="9"/>
      <c r="X6" s="9"/>
      <c r="Y6" s="9"/>
      <c r="Z6" s="9"/>
      <c r="AA6" s="9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</row>
    <row r="7" spans="1:50" ht="32" customHeight="1">
      <c r="A7" s="34" t="s">
        <v>705</v>
      </c>
      <c r="B7" s="94" t="s">
        <v>6</v>
      </c>
      <c r="C7" s="95" t="s">
        <v>549</v>
      </c>
      <c r="D7" s="96" t="s">
        <v>5</v>
      </c>
      <c r="E7" s="94">
        <v>1248633</v>
      </c>
      <c r="F7" s="97">
        <v>39932</v>
      </c>
      <c r="G7" s="97">
        <v>43140</v>
      </c>
      <c r="H7" s="98">
        <f t="shared" ref="H7:H67" si="0">(G7-F7)/365.25</f>
        <v>8.7830253251197803</v>
      </c>
      <c r="I7" s="99" t="s">
        <v>3</v>
      </c>
      <c r="J7" s="94" t="s">
        <v>19</v>
      </c>
      <c r="K7" s="94"/>
      <c r="L7" s="94" t="s">
        <v>34</v>
      </c>
      <c r="M7" s="94" t="s">
        <v>24</v>
      </c>
      <c r="N7" s="99" t="s">
        <v>103</v>
      </c>
      <c r="O7" s="100" t="s">
        <v>55</v>
      </c>
      <c r="P7" s="99" t="s">
        <v>56</v>
      </c>
      <c r="Q7" s="94" t="s">
        <v>32</v>
      </c>
      <c r="R7" s="99" t="s">
        <v>57</v>
      </c>
      <c r="S7" s="101">
        <v>1</v>
      </c>
      <c r="T7" s="94" t="s">
        <v>648</v>
      </c>
      <c r="U7" s="102">
        <v>0</v>
      </c>
      <c r="V7" s="9">
        <v>120</v>
      </c>
      <c r="W7" s="9"/>
      <c r="X7" s="9">
        <v>180</v>
      </c>
      <c r="Y7" s="9"/>
      <c r="Z7" s="9" t="s">
        <v>705</v>
      </c>
      <c r="AA7" s="9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</row>
    <row r="8" spans="1:50" ht="32" customHeight="1">
      <c r="A8" s="34" t="s">
        <v>705</v>
      </c>
      <c r="B8" s="94" t="s">
        <v>9</v>
      </c>
      <c r="C8" s="95"/>
      <c r="D8" s="94" t="s">
        <v>8</v>
      </c>
      <c r="E8" s="94">
        <v>1603345</v>
      </c>
      <c r="F8" s="97">
        <v>42544</v>
      </c>
      <c r="G8" s="103">
        <v>43707</v>
      </c>
      <c r="H8" s="98">
        <f t="shared" si="0"/>
        <v>3.184120465434634</v>
      </c>
      <c r="I8" s="99" t="s">
        <v>7</v>
      </c>
      <c r="J8" s="94" t="s">
        <v>20</v>
      </c>
      <c r="K8" s="94"/>
      <c r="L8" s="94" t="s">
        <v>34</v>
      </c>
      <c r="M8" s="94" t="s">
        <v>28</v>
      </c>
      <c r="N8" s="99" t="s">
        <v>103</v>
      </c>
      <c r="O8" s="100" t="s">
        <v>51</v>
      </c>
      <c r="P8" s="99" t="s">
        <v>54</v>
      </c>
      <c r="Q8" s="94" t="s">
        <v>47</v>
      </c>
      <c r="R8" s="99" t="s">
        <v>47</v>
      </c>
      <c r="S8" s="101">
        <v>1</v>
      </c>
      <c r="T8" s="94" t="s">
        <v>708</v>
      </c>
      <c r="U8" s="102">
        <v>0</v>
      </c>
      <c r="V8" s="9">
        <v>120</v>
      </c>
      <c r="W8" s="9"/>
      <c r="X8" s="9">
        <v>180</v>
      </c>
      <c r="Y8" s="9"/>
      <c r="Z8" s="9" t="s">
        <v>705</v>
      </c>
      <c r="AA8" s="9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</row>
    <row r="9" spans="1:50" ht="32" customHeight="1">
      <c r="B9" s="9" t="s">
        <v>13</v>
      </c>
      <c r="C9" s="35"/>
      <c r="D9" s="9" t="s">
        <v>12</v>
      </c>
      <c r="E9" s="9">
        <v>781613</v>
      </c>
      <c r="F9" s="8">
        <v>36087</v>
      </c>
      <c r="G9" s="8">
        <v>37760</v>
      </c>
      <c r="H9" s="36">
        <f t="shared" si="0"/>
        <v>4.5804243668720055</v>
      </c>
      <c r="I9" s="13" t="s">
        <v>11</v>
      </c>
      <c r="J9" s="9" t="s">
        <v>23</v>
      </c>
      <c r="K9" s="9"/>
      <c r="L9" s="9" t="s">
        <v>33</v>
      </c>
      <c r="M9" s="9" t="s">
        <v>24</v>
      </c>
      <c r="N9" s="13" t="s">
        <v>103</v>
      </c>
      <c r="O9" s="13" t="s">
        <v>10</v>
      </c>
      <c r="P9" s="13" t="s">
        <v>53</v>
      </c>
      <c r="Q9" s="9" t="s">
        <v>32</v>
      </c>
      <c r="R9" s="13" t="s">
        <v>50</v>
      </c>
      <c r="S9" s="38"/>
      <c r="T9" s="9"/>
      <c r="U9" s="39"/>
      <c r="V9" s="9"/>
      <c r="W9" s="9"/>
      <c r="X9" s="9"/>
      <c r="Y9" s="9"/>
      <c r="Z9" s="9"/>
      <c r="AA9" s="9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</row>
    <row r="10" spans="1:50" ht="32" customHeight="1">
      <c r="A10" s="34" t="s">
        <v>705</v>
      </c>
      <c r="B10" s="94" t="s">
        <v>16</v>
      </c>
      <c r="C10" s="95"/>
      <c r="D10" s="94" t="s">
        <v>15</v>
      </c>
      <c r="E10" s="94">
        <v>1513168</v>
      </c>
      <c r="F10" s="97">
        <v>42402</v>
      </c>
      <c r="G10" s="97">
        <v>42566</v>
      </c>
      <c r="H10" s="98">
        <f t="shared" si="0"/>
        <v>0.44900752908966463</v>
      </c>
      <c r="I10" s="104" t="s">
        <v>14</v>
      </c>
      <c r="J10" s="94" t="s">
        <v>22</v>
      </c>
      <c r="K10" s="94"/>
      <c r="L10" s="94" t="s">
        <v>34</v>
      </c>
      <c r="M10" s="94" t="s">
        <v>24</v>
      </c>
      <c r="N10" s="99" t="s">
        <v>103</v>
      </c>
      <c r="O10" s="100" t="s">
        <v>49</v>
      </c>
      <c r="P10" s="99" t="s">
        <v>48</v>
      </c>
      <c r="Q10" s="94" t="s">
        <v>47</v>
      </c>
      <c r="R10" s="99" t="s">
        <v>47</v>
      </c>
      <c r="S10" s="101">
        <v>1</v>
      </c>
      <c r="T10" s="94" t="s">
        <v>709</v>
      </c>
      <c r="U10" s="102">
        <v>0</v>
      </c>
      <c r="V10" s="9">
        <v>180</v>
      </c>
      <c r="W10" s="9"/>
      <c r="X10" s="9">
        <v>180</v>
      </c>
      <c r="Y10" s="9"/>
      <c r="Z10" s="9">
        <v>180</v>
      </c>
      <c r="AA10" s="9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</row>
    <row r="11" spans="1:50" ht="32" customHeight="1">
      <c r="A11" s="34" t="s">
        <v>705</v>
      </c>
      <c r="B11" s="94" t="s">
        <v>29</v>
      </c>
      <c r="C11" s="95" t="s">
        <v>558</v>
      </c>
      <c r="D11" s="94" t="s">
        <v>18</v>
      </c>
      <c r="E11" s="94">
        <v>1425471</v>
      </c>
      <c r="F11" s="97">
        <v>41785</v>
      </c>
      <c r="G11" s="97">
        <v>41849</v>
      </c>
      <c r="H11" s="98">
        <f t="shared" si="0"/>
        <v>0.17522245037645448</v>
      </c>
      <c r="I11" s="99" t="s">
        <v>17</v>
      </c>
      <c r="J11" s="94" t="s">
        <v>21</v>
      </c>
      <c r="K11" s="94"/>
      <c r="L11" s="94" t="s">
        <v>33</v>
      </c>
      <c r="M11" s="94" t="s">
        <v>24</v>
      </c>
      <c r="N11" s="99" t="s">
        <v>103</v>
      </c>
      <c r="O11" s="100" t="s">
        <v>31</v>
      </c>
      <c r="P11" s="99" t="s">
        <v>52</v>
      </c>
      <c r="Q11" s="94" t="s">
        <v>32</v>
      </c>
      <c r="R11" s="99" t="s">
        <v>43</v>
      </c>
      <c r="S11" s="101">
        <v>1</v>
      </c>
      <c r="T11" s="94" t="s">
        <v>653</v>
      </c>
      <c r="U11" s="102">
        <v>0</v>
      </c>
      <c r="V11" s="9">
        <v>150</v>
      </c>
      <c r="W11" s="9"/>
      <c r="X11" s="9">
        <v>180</v>
      </c>
      <c r="Y11" s="9"/>
      <c r="Z11" s="9" t="s">
        <v>705</v>
      </c>
      <c r="AA11" s="9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</row>
    <row r="12" spans="1:50" ht="32" customHeight="1">
      <c r="A12" s="34" t="s">
        <v>705</v>
      </c>
      <c r="B12" s="94" t="s">
        <v>30</v>
      </c>
      <c r="C12" s="95"/>
      <c r="D12" s="94" t="s">
        <v>25</v>
      </c>
      <c r="E12" s="94">
        <v>1074157</v>
      </c>
      <c r="F12" s="97">
        <v>38798</v>
      </c>
      <c r="G12" s="97">
        <v>43882</v>
      </c>
      <c r="H12" s="98">
        <f t="shared" si="0"/>
        <v>13.919233401779604</v>
      </c>
      <c r="I12" s="99" t="s">
        <v>26</v>
      </c>
      <c r="J12" s="94" t="s">
        <v>434</v>
      </c>
      <c r="K12" s="94"/>
      <c r="L12" s="94" t="s">
        <v>34</v>
      </c>
      <c r="M12" s="94" t="s">
        <v>28</v>
      </c>
      <c r="N12" s="99" t="s">
        <v>103</v>
      </c>
      <c r="O12" s="99" t="s">
        <v>45</v>
      </c>
      <c r="P12" s="99" t="s">
        <v>46</v>
      </c>
      <c r="Q12" s="94" t="s">
        <v>47</v>
      </c>
      <c r="R12" s="99" t="s">
        <v>44</v>
      </c>
      <c r="S12" s="101">
        <v>1</v>
      </c>
      <c r="T12" s="94" t="s">
        <v>710</v>
      </c>
      <c r="U12" s="102">
        <v>0</v>
      </c>
      <c r="V12" s="9">
        <v>90</v>
      </c>
      <c r="W12" s="9"/>
      <c r="X12" s="9">
        <v>180</v>
      </c>
      <c r="Y12" s="9"/>
      <c r="Z12" s="9" t="s">
        <v>705</v>
      </c>
      <c r="AA12" s="9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</row>
    <row r="13" spans="1:50" ht="32" customHeight="1">
      <c r="A13" s="34" t="s">
        <v>705</v>
      </c>
      <c r="B13" s="94" t="s">
        <v>586</v>
      </c>
      <c r="C13" s="95"/>
      <c r="D13" s="94" t="s">
        <v>443</v>
      </c>
      <c r="E13" s="94">
        <v>1590503</v>
      </c>
      <c r="F13" s="97">
        <v>38901</v>
      </c>
      <c r="G13" s="97">
        <v>43945</v>
      </c>
      <c r="H13" s="98">
        <f t="shared" si="0"/>
        <v>13.809719370294319</v>
      </c>
      <c r="I13" s="99" t="s">
        <v>441</v>
      </c>
      <c r="J13" s="94" t="s">
        <v>442</v>
      </c>
      <c r="K13" s="94"/>
      <c r="L13" s="94" t="s">
        <v>34</v>
      </c>
      <c r="M13" s="94" t="s">
        <v>24</v>
      </c>
      <c r="N13" s="99" t="s">
        <v>103</v>
      </c>
      <c r="O13" s="100" t="s">
        <v>445</v>
      </c>
      <c r="P13" s="99" t="s">
        <v>444</v>
      </c>
      <c r="Q13" s="94" t="s">
        <v>47</v>
      </c>
      <c r="R13" s="99" t="s">
        <v>47</v>
      </c>
      <c r="S13" s="101">
        <v>1</v>
      </c>
      <c r="T13" s="94" t="s">
        <v>711</v>
      </c>
      <c r="U13" s="102">
        <v>0</v>
      </c>
      <c r="V13" s="9">
        <v>180</v>
      </c>
      <c r="W13" s="9"/>
      <c r="X13" s="9">
        <v>180</v>
      </c>
      <c r="Y13" s="9"/>
      <c r="Z13" s="9" t="s">
        <v>705</v>
      </c>
      <c r="AA13" s="9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</row>
    <row r="14" spans="1:50" ht="32" customHeight="1" thickBot="1">
      <c r="A14" s="34" t="s">
        <v>705</v>
      </c>
      <c r="B14" s="94" t="s">
        <v>587</v>
      </c>
      <c r="C14" s="95"/>
      <c r="D14" s="94" t="s">
        <v>446</v>
      </c>
      <c r="E14" s="94">
        <v>1707487</v>
      </c>
      <c r="F14" s="97">
        <v>40711</v>
      </c>
      <c r="G14" s="97">
        <v>43755</v>
      </c>
      <c r="H14" s="98">
        <f>(G14-F14)/365.25</f>
        <v>8.3340177960301158</v>
      </c>
      <c r="I14" s="99" t="s">
        <v>447</v>
      </c>
      <c r="J14" s="94" t="s">
        <v>448</v>
      </c>
      <c r="K14" s="94"/>
      <c r="L14" s="94" t="s">
        <v>34</v>
      </c>
      <c r="M14" s="94" t="s">
        <v>28</v>
      </c>
      <c r="N14" s="99" t="s">
        <v>103</v>
      </c>
      <c r="O14" s="100" t="s">
        <v>55</v>
      </c>
      <c r="P14" s="99" t="s">
        <v>56</v>
      </c>
      <c r="Q14" s="94" t="s">
        <v>32</v>
      </c>
      <c r="R14" s="99" t="s">
        <v>449</v>
      </c>
      <c r="S14" s="101">
        <v>1</v>
      </c>
      <c r="T14" s="94" t="s">
        <v>728</v>
      </c>
      <c r="U14" s="102">
        <v>0</v>
      </c>
      <c r="V14" s="9">
        <v>180</v>
      </c>
      <c r="W14" s="9"/>
      <c r="X14" s="9">
        <v>180</v>
      </c>
      <c r="Y14" s="9"/>
      <c r="Z14" s="9">
        <v>90</v>
      </c>
      <c r="AA14" s="9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</row>
    <row r="15" spans="1:50" ht="32" customHeight="1" thickBot="1">
      <c r="B15" s="186" t="s">
        <v>60</v>
      </c>
      <c r="C15" s="187"/>
      <c r="D15" s="187"/>
      <c r="E15" s="187"/>
      <c r="F15" s="43"/>
      <c r="G15" s="43"/>
      <c r="H15" s="44"/>
      <c r="I15" s="45"/>
      <c r="J15" s="27"/>
      <c r="K15" s="27"/>
      <c r="L15" s="27"/>
      <c r="M15" s="27"/>
      <c r="N15" s="28"/>
      <c r="O15" s="29"/>
      <c r="P15" s="28"/>
      <c r="Q15" s="27"/>
      <c r="R15" s="28"/>
      <c r="S15" s="27"/>
      <c r="T15" s="27"/>
      <c r="U15" s="27"/>
      <c r="V15" s="27">
        <v>3</v>
      </c>
      <c r="W15" s="27"/>
      <c r="X15" s="27">
        <v>2</v>
      </c>
      <c r="Y15" s="27"/>
      <c r="Z15" s="27">
        <v>1</v>
      </c>
      <c r="AA15" s="27" t="s">
        <v>742</v>
      </c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32"/>
    </row>
    <row r="16" spans="1:50" ht="32" customHeight="1">
      <c r="A16" s="34" t="s">
        <v>705</v>
      </c>
      <c r="B16" s="94" t="s">
        <v>588</v>
      </c>
      <c r="C16" s="95" t="s">
        <v>550</v>
      </c>
      <c r="D16" s="105" t="s">
        <v>58</v>
      </c>
      <c r="E16" s="106">
        <v>1537151</v>
      </c>
      <c r="F16" s="97">
        <v>39655</v>
      </c>
      <c r="G16" s="97">
        <v>43147</v>
      </c>
      <c r="H16" s="98">
        <f t="shared" si="0"/>
        <v>9.5605749486652982</v>
      </c>
      <c r="I16" s="99" t="s">
        <v>59</v>
      </c>
      <c r="J16" s="94" t="s">
        <v>27</v>
      </c>
      <c r="K16" s="94"/>
      <c r="L16" s="94" t="s">
        <v>34</v>
      </c>
      <c r="M16" s="94" t="s">
        <v>24</v>
      </c>
      <c r="N16" s="99" t="s">
        <v>104</v>
      </c>
      <c r="O16" s="100" t="s">
        <v>105</v>
      </c>
      <c r="P16" s="100" t="s">
        <v>61</v>
      </c>
      <c r="Q16" s="94" t="s">
        <v>47</v>
      </c>
      <c r="R16" s="99" t="s">
        <v>47</v>
      </c>
      <c r="S16" s="101">
        <v>1</v>
      </c>
      <c r="T16" s="94" t="s">
        <v>649</v>
      </c>
      <c r="U16" s="102">
        <v>0</v>
      </c>
      <c r="V16" s="9" t="s">
        <v>705</v>
      </c>
      <c r="W16" s="9"/>
      <c r="X16" s="9" t="s">
        <v>705</v>
      </c>
      <c r="Y16" s="9"/>
      <c r="Z16" s="9">
        <v>100</v>
      </c>
      <c r="AA16" s="9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</row>
    <row r="17" spans="1:103" ht="32" customHeight="1" thickBot="1">
      <c r="A17" s="34" t="s">
        <v>705</v>
      </c>
      <c r="B17" s="94" t="s">
        <v>589</v>
      </c>
      <c r="C17" s="95" t="s">
        <v>536</v>
      </c>
      <c r="D17" s="105" t="s">
        <v>62</v>
      </c>
      <c r="E17" s="106">
        <v>1543014</v>
      </c>
      <c r="F17" s="97">
        <v>40736</v>
      </c>
      <c r="G17" s="97">
        <v>43147</v>
      </c>
      <c r="H17" s="98">
        <f t="shared" si="0"/>
        <v>6.6009582477754964</v>
      </c>
      <c r="I17" s="99" t="s">
        <v>63</v>
      </c>
      <c r="J17" s="94" t="s">
        <v>106</v>
      </c>
      <c r="K17" s="94"/>
      <c r="L17" s="94" t="s">
        <v>34</v>
      </c>
      <c r="M17" s="94" t="s">
        <v>24</v>
      </c>
      <c r="N17" s="99" t="s">
        <v>104</v>
      </c>
      <c r="O17" s="100" t="s">
        <v>105</v>
      </c>
      <c r="P17" s="100" t="s">
        <v>61</v>
      </c>
      <c r="Q17" s="94" t="s">
        <v>47</v>
      </c>
      <c r="R17" s="99" t="s">
        <v>47</v>
      </c>
      <c r="S17" s="101">
        <v>1</v>
      </c>
      <c r="T17" s="94" t="s">
        <v>636</v>
      </c>
      <c r="U17" s="102">
        <v>360</v>
      </c>
      <c r="V17" s="9">
        <v>180</v>
      </c>
      <c r="W17" s="9"/>
      <c r="X17" s="9">
        <v>180</v>
      </c>
      <c r="Y17" s="9" t="s">
        <v>743</v>
      </c>
      <c r="Z17" s="9">
        <v>180</v>
      </c>
      <c r="AA17" s="9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</row>
    <row r="18" spans="1:103" ht="32" customHeight="1" thickBot="1">
      <c r="B18" s="186" t="s">
        <v>108</v>
      </c>
      <c r="C18" s="187"/>
      <c r="D18" s="187"/>
      <c r="E18" s="187"/>
      <c r="F18" s="43"/>
      <c r="G18" s="43"/>
      <c r="H18" s="44"/>
      <c r="I18" s="45"/>
      <c r="J18" s="27"/>
      <c r="K18" s="27"/>
      <c r="L18" s="27"/>
      <c r="M18" s="27"/>
      <c r="N18" s="28"/>
      <c r="O18" s="29"/>
      <c r="P18" s="28"/>
      <c r="Q18" s="27"/>
      <c r="R18" s="28"/>
      <c r="S18" s="27"/>
      <c r="T18" s="27"/>
      <c r="U18" s="27"/>
      <c r="V18" s="27">
        <v>3</v>
      </c>
      <c r="W18" s="27"/>
      <c r="X18" s="27">
        <v>2</v>
      </c>
      <c r="Y18" s="27" t="s">
        <v>722</v>
      </c>
      <c r="Z18" s="27">
        <v>1</v>
      </c>
      <c r="AA18" s="27" t="s">
        <v>742</v>
      </c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32"/>
    </row>
    <row r="19" spans="1:103" ht="32" customHeight="1">
      <c r="A19" s="34" t="s">
        <v>705</v>
      </c>
      <c r="B19" s="94" t="s">
        <v>592</v>
      </c>
      <c r="C19" s="95" t="s">
        <v>562</v>
      </c>
      <c r="D19" s="105" t="s">
        <v>64</v>
      </c>
      <c r="E19" s="106">
        <v>1634718</v>
      </c>
      <c r="F19" s="97">
        <v>42797</v>
      </c>
      <c r="G19" s="97">
        <v>43250</v>
      </c>
      <c r="H19" s="98">
        <f t="shared" si="0"/>
        <v>1.2402464065708418</v>
      </c>
      <c r="I19" s="99" t="s">
        <v>65</v>
      </c>
      <c r="J19" s="94" t="s">
        <v>109</v>
      </c>
      <c r="K19" s="94"/>
      <c r="L19" s="94" t="s">
        <v>34</v>
      </c>
      <c r="M19" s="94" t="s">
        <v>24</v>
      </c>
      <c r="N19" s="99" t="s">
        <v>66</v>
      </c>
      <c r="O19" s="100" t="s">
        <v>67</v>
      </c>
      <c r="P19" s="100" t="s">
        <v>68</v>
      </c>
      <c r="Q19" s="94" t="s">
        <v>32</v>
      </c>
      <c r="R19" s="99" t="s">
        <v>113</v>
      </c>
      <c r="S19" s="101">
        <v>1</v>
      </c>
      <c r="T19" s="94" t="s">
        <v>657</v>
      </c>
      <c r="U19" s="102">
        <v>180</v>
      </c>
      <c r="V19" s="9">
        <v>180</v>
      </c>
      <c r="W19" s="9" t="s">
        <v>722</v>
      </c>
      <c r="X19" s="9">
        <v>180</v>
      </c>
      <c r="Y19" s="9" t="s">
        <v>722</v>
      </c>
      <c r="Z19" s="9">
        <v>180</v>
      </c>
      <c r="AA19" s="9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</row>
    <row r="20" spans="1:103" ht="32" customHeight="1">
      <c r="A20" s="34" t="s">
        <v>705</v>
      </c>
      <c r="B20" s="94" t="s">
        <v>593</v>
      </c>
      <c r="C20" s="95" t="s">
        <v>541</v>
      </c>
      <c r="D20" s="105" t="s">
        <v>69</v>
      </c>
      <c r="E20" s="106">
        <v>1623437</v>
      </c>
      <c r="F20" s="97">
        <v>37972</v>
      </c>
      <c r="G20" s="97">
        <v>43131</v>
      </c>
      <c r="H20" s="98">
        <f t="shared" si="0"/>
        <v>14.124572210814511</v>
      </c>
      <c r="I20" s="99" t="s">
        <v>70</v>
      </c>
      <c r="J20" s="94" t="s">
        <v>110</v>
      </c>
      <c r="K20" s="94"/>
      <c r="L20" s="94" t="s">
        <v>34</v>
      </c>
      <c r="M20" s="94" t="s">
        <v>28</v>
      </c>
      <c r="N20" s="99" t="s">
        <v>66</v>
      </c>
      <c r="O20" s="100" t="s">
        <v>71</v>
      </c>
      <c r="P20" s="100" t="s">
        <v>72</v>
      </c>
      <c r="Q20" s="94" t="s">
        <v>47</v>
      </c>
      <c r="R20" s="99" t="s">
        <v>47</v>
      </c>
      <c r="S20" s="101">
        <v>1</v>
      </c>
      <c r="T20" s="94" t="s">
        <v>638</v>
      </c>
      <c r="U20" s="102">
        <v>0</v>
      </c>
      <c r="V20" s="9" t="s">
        <v>705</v>
      </c>
      <c r="W20" s="9"/>
      <c r="X20" s="9">
        <v>130</v>
      </c>
      <c r="Y20" s="9"/>
      <c r="Z20" s="9">
        <v>180</v>
      </c>
      <c r="AA20" s="9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  <c r="CO20" s="34"/>
      <c r="CP20" s="34"/>
      <c r="CQ20" s="34"/>
      <c r="CR20" s="34"/>
      <c r="CS20" s="34"/>
      <c r="CT20" s="34"/>
      <c r="CU20" s="34"/>
      <c r="CV20" s="34"/>
      <c r="CW20" s="34"/>
      <c r="CX20" s="34"/>
      <c r="CY20" s="34"/>
    </row>
    <row r="21" spans="1:103" ht="32" customHeight="1">
      <c r="A21" s="34" t="s">
        <v>705</v>
      </c>
      <c r="B21" s="94" t="s">
        <v>594</v>
      </c>
      <c r="C21" s="107" t="s">
        <v>543</v>
      </c>
      <c r="D21" s="105" t="s">
        <v>73</v>
      </c>
      <c r="E21" s="106">
        <v>1146171</v>
      </c>
      <c r="F21" s="97">
        <v>39204</v>
      </c>
      <c r="G21" s="97">
        <v>41387</v>
      </c>
      <c r="H21" s="98">
        <f t="shared" si="0"/>
        <v>5.976728268309377</v>
      </c>
      <c r="I21" s="99" t="s">
        <v>74</v>
      </c>
      <c r="J21" s="94" t="s">
        <v>111</v>
      </c>
      <c r="K21" s="94"/>
      <c r="L21" s="94" t="s">
        <v>34</v>
      </c>
      <c r="M21" s="94" t="s">
        <v>28</v>
      </c>
      <c r="N21" s="99" t="s">
        <v>66</v>
      </c>
      <c r="O21" s="100" t="s">
        <v>75</v>
      </c>
      <c r="P21" s="100" t="s">
        <v>76</v>
      </c>
      <c r="Q21" s="94" t="s">
        <v>32</v>
      </c>
      <c r="R21" s="99" t="s">
        <v>114</v>
      </c>
      <c r="S21" s="101">
        <v>1</v>
      </c>
      <c r="T21" s="94" t="s">
        <v>639</v>
      </c>
      <c r="U21" s="102">
        <v>0</v>
      </c>
      <c r="V21" s="9" t="s">
        <v>705</v>
      </c>
      <c r="W21" s="9"/>
      <c r="X21" s="9" t="s">
        <v>705</v>
      </c>
      <c r="Y21" s="9"/>
      <c r="Z21" s="9">
        <v>150</v>
      </c>
      <c r="AA21" s="9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</row>
    <row r="22" spans="1:103" ht="32" customHeight="1" thickBot="1">
      <c r="A22" s="34" t="s">
        <v>705</v>
      </c>
      <c r="B22" s="94" t="s">
        <v>595</v>
      </c>
      <c r="C22" s="95" t="s">
        <v>542</v>
      </c>
      <c r="D22" s="94" t="s">
        <v>77</v>
      </c>
      <c r="E22" s="106">
        <v>1387278</v>
      </c>
      <c r="F22" s="108">
        <v>41366</v>
      </c>
      <c r="G22" s="97">
        <v>41458</v>
      </c>
      <c r="H22" s="98">
        <f t="shared" si="0"/>
        <v>0.2518822724161533</v>
      </c>
      <c r="I22" s="99" t="s">
        <v>78</v>
      </c>
      <c r="J22" s="94" t="s">
        <v>112</v>
      </c>
      <c r="K22" s="94"/>
      <c r="L22" s="94" t="s">
        <v>33</v>
      </c>
      <c r="M22" s="94" t="s">
        <v>24</v>
      </c>
      <c r="N22" s="99" t="s">
        <v>66</v>
      </c>
      <c r="O22" s="100" t="s">
        <v>75</v>
      </c>
      <c r="P22" s="100" t="s">
        <v>68</v>
      </c>
      <c r="Q22" s="94" t="s">
        <v>32</v>
      </c>
      <c r="R22" s="99" t="s">
        <v>115</v>
      </c>
      <c r="S22" s="101">
        <v>1</v>
      </c>
      <c r="T22" s="94" t="s">
        <v>640</v>
      </c>
      <c r="U22" s="102">
        <v>0</v>
      </c>
      <c r="V22" s="9" t="s">
        <v>705</v>
      </c>
      <c r="W22" s="9"/>
      <c r="X22" s="9" t="s">
        <v>705</v>
      </c>
      <c r="Y22" s="9"/>
      <c r="Z22" s="9">
        <v>100</v>
      </c>
      <c r="AA22" s="9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4"/>
      <c r="CO22" s="34"/>
      <c r="CP22" s="34"/>
      <c r="CQ22" s="34"/>
      <c r="CR22" s="34"/>
      <c r="CS22" s="34"/>
      <c r="CT22" s="34"/>
      <c r="CU22" s="34"/>
      <c r="CV22" s="34"/>
      <c r="CW22" s="34"/>
      <c r="CX22" s="34"/>
      <c r="CY22" s="34"/>
    </row>
    <row r="23" spans="1:103" ht="32" customHeight="1" thickBot="1">
      <c r="B23" s="186" t="s">
        <v>81</v>
      </c>
      <c r="C23" s="187"/>
      <c r="D23" s="187"/>
      <c r="E23" s="187"/>
      <c r="F23" s="43"/>
      <c r="G23" s="43"/>
      <c r="H23" s="44"/>
      <c r="I23" s="45"/>
      <c r="J23" s="27"/>
      <c r="K23" s="27"/>
      <c r="L23" s="27"/>
      <c r="M23" s="27"/>
      <c r="N23" s="28"/>
      <c r="O23" s="29"/>
      <c r="P23" s="28"/>
      <c r="Q23" s="27"/>
      <c r="R23" s="28"/>
      <c r="S23" s="27"/>
      <c r="T23" s="27"/>
      <c r="U23" s="27"/>
      <c r="V23" s="27">
        <v>1</v>
      </c>
      <c r="W23" s="27" t="s">
        <v>740</v>
      </c>
      <c r="X23" s="27">
        <v>2</v>
      </c>
      <c r="Y23" s="27" t="s">
        <v>741</v>
      </c>
      <c r="Z23" s="27">
        <v>3</v>
      </c>
      <c r="AA23" s="27" t="s">
        <v>722</v>
      </c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32"/>
    </row>
    <row r="24" spans="1:103" ht="32" customHeight="1">
      <c r="A24" s="34" t="s">
        <v>705</v>
      </c>
      <c r="B24" s="94" t="s">
        <v>119</v>
      </c>
      <c r="C24" s="95" t="s">
        <v>546</v>
      </c>
      <c r="D24" s="105" t="s">
        <v>79</v>
      </c>
      <c r="E24" s="106">
        <v>854169</v>
      </c>
      <c r="F24" s="97">
        <v>37039</v>
      </c>
      <c r="G24" s="97">
        <v>38756</v>
      </c>
      <c r="H24" s="98">
        <f t="shared" si="0"/>
        <v>4.7008898015058183</v>
      </c>
      <c r="I24" s="99" t="s">
        <v>116</v>
      </c>
      <c r="J24" s="94" t="s">
        <v>117</v>
      </c>
      <c r="K24" s="94"/>
      <c r="L24" s="94" t="s">
        <v>34</v>
      </c>
      <c r="M24" s="94" t="s">
        <v>24</v>
      </c>
      <c r="N24" s="99" t="s">
        <v>80</v>
      </c>
      <c r="O24" s="100" t="s">
        <v>118</v>
      </c>
      <c r="P24" s="99" t="s">
        <v>68</v>
      </c>
      <c r="Q24" s="94" t="s">
        <v>32</v>
      </c>
      <c r="R24" s="99" t="s">
        <v>50</v>
      </c>
      <c r="S24" s="101">
        <v>1</v>
      </c>
      <c r="T24" s="94" t="s">
        <v>643</v>
      </c>
      <c r="U24" s="102">
        <v>360</v>
      </c>
      <c r="V24" s="9">
        <v>180</v>
      </c>
      <c r="W24" s="9"/>
      <c r="X24" s="9">
        <v>180</v>
      </c>
      <c r="Y24" s="9"/>
      <c r="Z24" s="9">
        <v>180</v>
      </c>
      <c r="AA24" s="9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</row>
    <row r="25" spans="1:103" ht="32" customHeight="1">
      <c r="A25" s="34" t="s">
        <v>705</v>
      </c>
      <c r="B25" s="94" t="s">
        <v>120</v>
      </c>
      <c r="C25" s="95"/>
      <c r="D25" s="105" t="s">
        <v>82</v>
      </c>
      <c r="E25" s="106">
        <v>1315360</v>
      </c>
      <c r="F25" s="97">
        <v>39607</v>
      </c>
      <c r="G25" s="97">
        <v>42562</v>
      </c>
      <c r="H25" s="98">
        <f t="shared" si="0"/>
        <v>8.0903490759753591</v>
      </c>
      <c r="I25" s="99" t="s">
        <v>83</v>
      </c>
      <c r="J25" s="94" t="s">
        <v>124</v>
      </c>
      <c r="K25" s="94"/>
      <c r="L25" s="94" t="s">
        <v>34</v>
      </c>
      <c r="M25" s="94" t="s">
        <v>24</v>
      </c>
      <c r="N25" s="99" t="s">
        <v>80</v>
      </c>
      <c r="O25" s="100" t="s">
        <v>125</v>
      </c>
      <c r="P25" s="99" t="s">
        <v>126</v>
      </c>
      <c r="Q25" s="94" t="s">
        <v>32</v>
      </c>
      <c r="R25" s="99" t="s">
        <v>43</v>
      </c>
      <c r="S25" s="101">
        <v>1</v>
      </c>
      <c r="T25" s="94" t="s">
        <v>712</v>
      </c>
      <c r="U25" s="102">
        <v>25</v>
      </c>
      <c r="V25" s="9">
        <v>180</v>
      </c>
      <c r="W25" s="9"/>
      <c r="X25" s="9" t="s">
        <v>705</v>
      </c>
      <c r="Y25" s="9"/>
      <c r="Z25" s="9" t="s">
        <v>705</v>
      </c>
      <c r="AA25" s="9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34"/>
      <c r="CO25" s="34"/>
      <c r="CP25" s="34"/>
      <c r="CQ25" s="34"/>
      <c r="CR25" s="34"/>
      <c r="CS25" s="34"/>
      <c r="CT25" s="34"/>
      <c r="CU25" s="34"/>
      <c r="CV25" s="34"/>
      <c r="CW25" s="34"/>
      <c r="CX25" s="34"/>
      <c r="CY25" s="34"/>
    </row>
    <row r="26" spans="1:103" ht="32" customHeight="1">
      <c r="A26" s="34" t="s">
        <v>705</v>
      </c>
      <c r="B26" s="94" t="s">
        <v>121</v>
      </c>
      <c r="C26" s="95" t="s">
        <v>559</v>
      </c>
      <c r="D26" s="94" t="s">
        <v>84</v>
      </c>
      <c r="E26" s="106">
        <v>999704</v>
      </c>
      <c r="F26" s="97">
        <v>38009</v>
      </c>
      <c r="G26" s="97">
        <v>39013</v>
      </c>
      <c r="H26" s="98">
        <f t="shared" si="0"/>
        <v>2.7488021902806299</v>
      </c>
      <c r="I26" s="99" t="s">
        <v>85</v>
      </c>
      <c r="J26" s="94" t="s">
        <v>127</v>
      </c>
      <c r="K26" s="94"/>
      <c r="L26" s="94" t="s">
        <v>34</v>
      </c>
      <c r="M26" s="94" t="s">
        <v>28</v>
      </c>
      <c r="N26" s="99" t="s">
        <v>80</v>
      </c>
      <c r="O26" s="100" t="s">
        <v>128</v>
      </c>
      <c r="P26" s="99" t="s">
        <v>68</v>
      </c>
      <c r="Q26" s="94" t="s">
        <v>32</v>
      </c>
      <c r="R26" s="99" t="s">
        <v>129</v>
      </c>
      <c r="S26" s="101">
        <v>1</v>
      </c>
      <c r="T26" s="94" t="s">
        <v>654</v>
      </c>
      <c r="U26" s="102">
        <v>90</v>
      </c>
      <c r="V26" s="9">
        <v>180</v>
      </c>
      <c r="W26" s="9"/>
      <c r="X26" s="9">
        <v>180</v>
      </c>
      <c r="Y26" s="9"/>
      <c r="Z26" s="9">
        <v>180</v>
      </c>
      <c r="AA26" s="9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4"/>
      <c r="CB26" s="34"/>
      <c r="CC26" s="34"/>
      <c r="CD26" s="34"/>
      <c r="CE26" s="34"/>
      <c r="CF26" s="34"/>
      <c r="CG26" s="34"/>
      <c r="CH26" s="34"/>
      <c r="CI26" s="34"/>
      <c r="CJ26" s="34"/>
      <c r="CK26" s="34"/>
      <c r="CL26" s="34"/>
      <c r="CM26" s="34"/>
      <c r="CN26" s="34"/>
      <c r="CO26" s="34"/>
      <c r="CP26" s="34"/>
      <c r="CQ26" s="34"/>
      <c r="CR26" s="34"/>
      <c r="CS26" s="34"/>
      <c r="CT26" s="34"/>
      <c r="CU26" s="34"/>
      <c r="CV26" s="34"/>
      <c r="CW26" s="34"/>
      <c r="CX26" s="34"/>
      <c r="CY26" s="34"/>
    </row>
    <row r="27" spans="1:103" s="33" customFormat="1" ht="32" customHeight="1">
      <c r="A27" s="34" t="s">
        <v>705</v>
      </c>
      <c r="B27" s="94" t="s">
        <v>144</v>
      </c>
      <c r="C27" s="95" t="s">
        <v>545</v>
      </c>
      <c r="D27" s="94" t="s">
        <v>86</v>
      </c>
      <c r="E27" s="106">
        <v>891127</v>
      </c>
      <c r="F27" s="108">
        <v>37106</v>
      </c>
      <c r="G27" s="97">
        <v>43812</v>
      </c>
      <c r="H27" s="98">
        <f t="shared" si="0"/>
        <v>18.360027378507873</v>
      </c>
      <c r="I27" s="99" t="s">
        <v>87</v>
      </c>
      <c r="J27" s="94" t="s">
        <v>130</v>
      </c>
      <c r="K27" s="94"/>
      <c r="L27" s="94" t="s">
        <v>34</v>
      </c>
      <c r="M27" s="94" t="s">
        <v>24</v>
      </c>
      <c r="N27" s="99" t="s">
        <v>80</v>
      </c>
      <c r="O27" s="100" t="s">
        <v>132</v>
      </c>
      <c r="P27" s="99" t="s">
        <v>133</v>
      </c>
      <c r="Q27" s="94" t="s">
        <v>47</v>
      </c>
      <c r="R27" s="99" t="s">
        <v>47</v>
      </c>
      <c r="S27" s="101">
        <v>1</v>
      </c>
      <c r="T27" s="94" t="s">
        <v>642</v>
      </c>
      <c r="U27" s="102">
        <v>0</v>
      </c>
      <c r="V27" s="46">
        <v>180</v>
      </c>
      <c r="W27" s="46"/>
      <c r="X27" s="46">
        <v>140</v>
      </c>
      <c r="Y27" s="46"/>
      <c r="Z27" s="46" t="s">
        <v>705</v>
      </c>
      <c r="AA27" s="46"/>
    </row>
    <row r="28" spans="1:103" ht="32" customHeight="1">
      <c r="B28" s="77" t="s">
        <v>145</v>
      </c>
      <c r="C28" s="78" t="s">
        <v>577</v>
      </c>
      <c r="D28" s="77" t="s">
        <v>88</v>
      </c>
      <c r="E28" s="79">
        <v>1069909</v>
      </c>
      <c r="F28" s="80">
        <v>38699</v>
      </c>
      <c r="G28" s="80">
        <v>39169</v>
      </c>
      <c r="H28" s="81">
        <f t="shared" si="0"/>
        <v>1.2867898699520877</v>
      </c>
      <c r="I28" s="82" t="s">
        <v>89</v>
      </c>
      <c r="J28" s="77" t="s">
        <v>131</v>
      </c>
      <c r="K28" s="77"/>
      <c r="L28" s="77" t="s">
        <v>34</v>
      </c>
      <c r="M28" s="77" t="s">
        <v>28</v>
      </c>
      <c r="N28" s="82" t="s">
        <v>80</v>
      </c>
      <c r="O28" s="91" t="s">
        <v>135</v>
      </c>
      <c r="P28" s="82" t="s">
        <v>134</v>
      </c>
      <c r="Q28" s="77" t="s">
        <v>32</v>
      </c>
      <c r="R28" s="82" t="s">
        <v>136</v>
      </c>
      <c r="S28" s="92"/>
      <c r="T28" s="77"/>
      <c r="U28" s="93"/>
      <c r="V28" s="9"/>
      <c r="W28" s="9"/>
      <c r="X28" s="9"/>
      <c r="Y28" s="9"/>
      <c r="Z28" s="9"/>
      <c r="AA28" s="9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  <c r="CJ28" s="34"/>
      <c r="CK28" s="34"/>
      <c r="CL28" s="34"/>
      <c r="CM28" s="34"/>
      <c r="CN28" s="34"/>
      <c r="CO28" s="34"/>
      <c r="CP28" s="34"/>
      <c r="CQ28" s="34"/>
      <c r="CR28" s="34"/>
      <c r="CS28" s="34"/>
      <c r="CT28" s="34"/>
      <c r="CU28" s="34"/>
      <c r="CV28" s="34"/>
      <c r="CW28" s="34"/>
      <c r="CX28" s="34"/>
      <c r="CY28" s="34"/>
    </row>
    <row r="29" spans="1:103" ht="32" customHeight="1">
      <c r="A29" s="34" t="s">
        <v>705</v>
      </c>
      <c r="B29" s="94" t="s">
        <v>146</v>
      </c>
      <c r="C29" s="95"/>
      <c r="D29" s="109" t="s">
        <v>295</v>
      </c>
      <c r="E29" s="109">
        <v>1526465</v>
      </c>
      <c r="F29" s="103">
        <v>42584</v>
      </c>
      <c r="G29" s="97">
        <v>42671</v>
      </c>
      <c r="H29" s="98">
        <f t="shared" si="0"/>
        <v>0.23819301848049282</v>
      </c>
      <c r="I29" s="110" t="s">
        <v>255</v>
      </c>
      <c r="J29" s="94" t="s">
        <v>296</v>
      </c>
      <c r="K29" s="94"/>
      <c r="L29" s="94" t="s">
        <v>34</v>
      </c>
      <c r="M29" s="94" t="s">
        <v>28</v>
      </c>
      <c r="N29" s="99" t="s">
        <v>80</v>
      </c>
      <c r="O29" s="100" t="s">
        <v>436</v>
      </c>
      <c r="P29" s="99" t="s">
        <v>297</v>
      </c>
      <c r="Q29" s="94" t="s">
        <v>32</v>
      </c>
      <c r="R29" s="99" t="s">
        <v>286</v>
      </c>
      <c r="S29" s="101">
        <v>1</v>
      </c>
      <c r="T29" s="94" t="s">
        <v>713</v>
      </c>
      <c r="U29" s="102">
        <v>30</v>
      </c>
      <c r="V29" s="9" t="s">
        <v>705</v>
      </c>
      <c r="W29" s="9"/>
      <c r="X29" s="9" t="s">
        <v>705</v>
      </c>
      <c r="Y29" s="9"/>
      <c r="Z29" s="9" t="s">
        <v>705</v>
      </c>
      <c r="AA29" s="9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  <c r="BU29" s="34"/>
      <c r="BV29" s="34"/>
      <c r="BW29" s="34"/>
      <c r="BX29" s="34"/>
      <c r="BY29" s="34"/>
      <c r="BZ29" s="34"/>
      <c r="CA29" s="34"/>
      <c r="CB29" s="34"/>
      <c r="CC29" s="34"/>
      <c r="CD29" s="34"/>
      <c r="CE29" s="34"/>
      <c r="CF29" s="34"/>
      <c r="CG29" s="34"/>
      <c r="CH29" s="34"/>
      <c r="CI29" s="34"/>
      <c r="CJ29" s="34"/>
      <c r="CK29" s="34"/>
      <c r="CL29" s="34"/>
      <c r="CM29" s="34"/>
      <c r="CN29" s="34"/>
      <c r="CO29" s="34"/>
      <c r="CP29" s="34"/>
      <c r="CQ29" s="34"/>
      <c r="CR29" s="34"/>
      <c r="CS29" s="34"/>
      <c r="CT29" s="34"/>
      <c r="CU29" s="34"/>
      <c r="CV29" s="34"/>
      <c r="CW29" s="34"/>
      <c r="CX29" s="34"/>
      <c r="CY29" s="34"/>
    </row>
    <row r="30" spans="1:103" ht="32" customHeight="1" thickBot="1">
      <c r="A30" s="34" t="s">
        <v>705</v>
      </c>
      <c r="B30" s="94" t="s">
        <v>147</v>
      </c>
      <c r="C30" s="95"/>
      <c r="D30" s="109" t="s">
        <v>469</v>
      </c>
      <c r="E30" s="109">
        <v>1660645</v>
      </c>
      <c r="F30" s="103">
        <v>40750</v>
      </c>
      <c r="G30" s="97">
        <v>44131</v>
      </c>
      <c r="H30" s="98">
        <f t="shared" si="0"/>
        <v>9.2566735112936342</v>
      </c>
      <c r="I30" s="110" t="s">
        <v>468</v>
      </c>
      <c r="J30" s="94" t="s">
        <v>470</v>
      </c>
      <c r="K30" s="94"/>
      <c r="L30" s="94" t="s">
        <v>34</v>
      </c>
      <c r="M30" s="94" t="s">
        <v>28</v>
      </c>
      <c r="N30" s="99" t="s">
        <v>80</v>
      </c>
      <c r="O30" s="100" t="s">
        <v>471</v>
      </c>
      <c r="P30" s="99" t="s">
        <v>472</v>
      </c>
      <c r="Q30" s="94" t="s">
        <v>473</v>
      </c>
      <c r="R30" s="99" t="s">
        <v>474</v>
      </c>
      <c r="S30" s="101">
        <v>1</v>
      </c>
      <c r="T30" s="94" t="s">
        <v>714</v>
      </c>
      <c r="U30" s="102">
        <v>0</v>
      </c>
      <c r="V30" s="9">
        <v>180</v>
      </c>
      <c r="W30" s="9"/>
      <c r="X30" s="9">
        <v>160</v>
      </c>
      <c r="Y30" s="9"/>
      <c r="Z30" s="9" t="s">
        <v>705</v>
      </c>
      <c r="AA30" s="9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4"/>
      <c r="BX30" s="34"/>
      <c r="BY30" s="34"/>
      <c r="BZ30" s="34"/>
      <c r="CA30" s="34"/>
      <c r="CB30" s="34"/>
      <c r="CC30" s="34"/>
      <c r="CD30" s="34"/>
      <c r="CE30" s="34"/>
      <c r="CF30" s="34"/>
      <c r="CG30" s="34"/>
      <c r="CH30" s="34"/>
      <c r="CI30" s="34"/>
      <c r="CJ30" s="34"/>
      <c r="CK30" s="34"/>
      <c r="CL30" s="34"/>
      <c r="CM30" s="34"/>
      <c r="CN30" s="34"/>
      <c r="CO30" s="34"/>
      <c r="CP30" s="34"/>
      <c r="CQ30" s="34"/>
      <c r="CR30" s="34"/>
      <c r="CS30" s="34"/>
      <c r="CT30" s="34"/>
      <c r="CU30" s="34"/>
      <c r="CV30" s="34"/>
      <c r="CW30" s="34"/>
      <c r="CX30" s="34"/>
      <c r="CY30" s="34"/>
    </row>
    <row r="31" spans="1:103" ht="32" customHeight="1" thickBot="1">
      <c r="B31" s="186" t="s">
        <v>91</v>
      </c>
      <c r="C31" s="187"/>
      <c r="D31" s="187"/>
      <c r="E31" s="187"/>
      <c r="F31" s="43"/>
      <c r="G31" s="43"/>
      <c r="H31" s="44"/>
      <c r="I31" s="45"/>
      <c r="J31" s="27"/>
      <c r="K31" s="27"/>
      <c r="L31" s="27"/>
      <c r="M31" s="27"/>
      <c r="N31" s="28"/>
      <c r="O31" s="29"/>
      <c r="P31" s="28"/>
      <c r="Q31" s="27"/>
      <c r="R31" s="28"/>
      <c r="S31" s="27"/>
      <c r="T31" s="27"/>
      <c r="U31" s="27"/>
      <c r="V31" s="27" t="s">
        <v>722</v>
      </c>
      <c r="W31" s="27"/>
      <c r="X31" s="27">
        <v>2</v>
      </c>
      <c r="Y31" s="27" t="s">
        <v>742</v>
      </c>
      <c r="Z31" s="27">
        <v>1</v>
      </c>
      <c r="AA31" s="27" t="s">
        <v>742</v>
      </c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32"/>
    </row>
    <row r="32" spans="1:103" ht="32" customHeight="1">
      <c r="A32" s="34" t="s">
        <v>705</v>
      </c>
      <c r="B32" s="94" t="s">
        <v>148</v>
      </c>
      <c r="C32" s="95" t="s">
        <v>548</v>
      </c>
      <c r="D32" s="111" t="s">
        <v>646</v>
      </c>
      <c r="E32" s="106">
        <v>999968</v>
      </c>
      <c r="F32" s="97">
        <v>37982</v>
      </c>
      <c r="G32" s="97">
        <v>41309</v>
      </c>
      <c r="H32" s="98">
        <f t="shared" si="0"/>
        <v>9.1088295687885008</v>
      </c>
      <c r="I32" s="99" t="s">
        <v>90</v>
      </c>
      <c r="J32" s="94" t="s">
        <v>137</v>
      </c>
      <c r="K32" s="94"/>
      <c r="L32" s="94" t="s">
        <v>33</v>
      </c>
      <c r="M32" s="94" t="s">
        <v>24</v>
      </c>
      <c r="N32" s="99" t="s">
        <v>154</v>
      </c>
      <c r="O32" s="99" t="s">
        <v>152</v>
      </c>
      <c r="P32" s="99" t="s">
        <v>153</v>
      </c>
      <c r="Q32" s="94" t="s">
        <v>47</v>
      </c>
      <c r="R32" s="99" t="s">
        <v>47</v>
      </c>
      <c r="S32" s="101">
        <v>1</v>
      </c>
      <c r="T32" s="94" t="s">
        <v>644</v>
      </c>
      <c r="U32" s="102">
        <v>300</v>
      </c>
      <c r="V32" s="9"/>
      <c r="W32" s="9"/>
      <c r="X32" s="9">
        <v>180</v>
      </c>
      <c r="Y32" s="9"/>
      <c r="Z32" s="9">
        <v>180</v>
      </c>
      <c r="AA32" s="9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34"/>
      <c r="CO32" s="34"/>
      <c r="CP32" s="34"/>
      <c r="CQ32" s="34"/>
      <c r="CR32" s="34"/>
      <c r="CS32" s="34"/>
      <c r="CT32" s="34"/>
      <c r="CU32" s="34"/>
      <c r="CV32" s="34"/>
      <c r="CW32" s="34"/>
      <c r="CX32" s="34"/>
      <c r="CY32" s="34"/>
    </row>
    <row r="33" spans="1:103" ht="32" customHeight="1">
      <c r="B33" s="9" t="s">
        <v>149</v>
      </c>
      <c r="C33" s="35"/>
      <c r="D33" s="54" t="s">
        <v>678</v>
      </c>
      <c r="E33" s="49">
        <v>1629166</v>
      </c>
      <c r="F33" s="8">
        <v>43050</v>
      </c>
      <c r="G33" s="8">
        <v>43336</v>
      </c>
      <c r="H33" s="36">
        <f t="shared" si="0"/>
        <v>0.78302532511978096</v>
      </c>
      <c r="I33" s="13" t="s">
        <v>92</v>
      </c>
      <c r="J33" s="9" t="s">
        <v>138</v>
      </c>
      <c r="K33" s="9"/>
      <c r="L33" s="9" t="s">
        <v>34</v>
      </c>
      <c r="M33" s="9" t="s">
        <v>24</v>
      </c>
      <c r="N33" s="13" t="s">
        <v>154</v>
      </c>
      <c r="O33" s="13" t="s">
        <v>157</v>
      </c>
      <c r="P33" s="13" t="s">
        <v>153</v>
      </c>
      <c r="Q33" s="9" t="s">
        <v>32</v>
      </c>
      <c r="R33" s="13" t="s">
        <v>47</v>
      </c>
      <c r="S33" s="38"/>
      <c r="T33" s="9"/>
      <c r="U33" s="39"/>
      <c r="V33" s="9"/>
      <c r="W33" s="9"/>
      <c r="X33" s="9"/>
      <c r="Y33" s="9"/>
      <c r="Z33" s="9"/>
      <c r="AA33" s="9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  <c r="CM33" s="34"/>
      <c r="CN33" s="34"/>
      <c r="CO33" s="34"/>
      <c r="CP33" s="34"/>
      <c r="CQ33" s="34"/>
      <c r="CR33" s="34"/>
      <c r="CS33" s="34"/>
      <c r="CT33" s="34"/>
      <c r="CU33" s="34"/>
      <c r="CV33" s="34"/>
      <c r="CW33" s="34"/>
      <c r="CX33" s="34"/>
      <c r="CY33" s="34"/>
    </row>
    <row r="34" spans="1:103" ht="32" customHeight="1">
      <c r="A34" s="34" t="s">
        <v>705</v>
      </c>
      <c r="B34" s="94" t="s">
        <v>150</v>
      </c>
      <c r="C34" s="95" t="s">
        <v>538</v>
      </c>
      <c r="D34" s="111" t="s">
        <v>645</v>
      </c>
      <c r="E34" s="106">
        <v>963579</v>
      </c>
      <c r="F34" s="97">
        <v>37552</v>
      </c>
      <c r="G34" s="97">
        <v>43502</v>
      </c>
      <c r="H34" s="98">
        <f t="shared" si="0"/>
        <v>16.290212183436001</v>
      </c>
      <c r="I34" s="100" t="s">
        <v>93</v>
      </c>
      <c r="J34" s="94" t="s">
        <v>138</v>
      </c>
      <c r="K34" s="94"/>
      <c r="L34" s="94" t="s">
        <v>34</v>
      </c>
      <c r="M34" s="94" t="s">
        <v>24</v>
      </c>
      <c r="N34" s="99" t="s">
        <v>154</v>
      </c>
      <c r="O34" s="99" t="s">
        <v>157</v>
      </c>
      <c r="P34" s="99" t="s">
        <v>156</v>
      </c>
      <c r="Q34" s="94" t="s">
        <v>47</v>
      </c>
      <c r="R34" s="99" t="s">
        <v>47</v>
      </c>
      <c r="S34" s="101">
        <v>1</v>
      </c>
      <c r="T34" s="94" t="s">
        <v>647</v>
      </c>
      <c r="U34" s="102">
        <v>50</v>
      </c>
      <c r="V34" s="9"/>
      <c r="W34" s="9"/>
      <c r="X34" s="9" t="s">
        <v>705</v>
      </c>
      <c r="Y34" s="9"/>
      <c r="Z34" s="9">
        <v>180</v>
      </c>
      <c r="AA34" s="9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4"/>
      <c r="BX34" s="34"/>
      <c r="BY34" s="34"/>
      <c r="BZ34" s="34"/>
      <c r="CA34" s="34"/>
      <c r="CB34" s="34"/>
      <c r="CC34" s="34"/>
      <c r="CD34" s="34"/>
      <c r="CE34" s="34"/>
      <c r="CF34" s="34"/>
      <c r="CG34" s="34"/>
      <c r="CH34" s="34"/>
      <c r="CI34" s="34"/>
      <c r="CJ34" s="34"/>
      <c r="CK34" s="34"/>
      <c r="CL34" s="34"/>
      <c r="CM34" s="34"/>
      <c r="CN34" s="34"/>
      <c r="CO34" s="34"/>
      <c r="CP34" s="34"/>
      <c r="CQ34" s="34"/>
      <c r="CR34" s="34"/>
      <c r="CS34" s="34"/>
      <c r="CT34" s="34"/>
      <c r="CU34" s="34"/>
      <c r="CV34" s="34"/>
      <c r="CW34" s="34"/>
      <c r="CX34" s="34"/>
      <c r="CY34" s="34"/>
    </row>
    <row r="35" spans="1:103" ht="32" customHeight="1" thickBot="1">
      <c r="A35" s="34" t="s">
        <v>705</v>
      </c>
      <c r="B35" s="94" t="s">
        <v>151</v>
      </c>
      <c r="C35" s="95"/>
      <c r="D35" s="111" t="s">
        <v>677</v>
      </c>
      <c r="E35" s="106">
        <v>1475720</v>
      </c>
      <c r="F35" s="97">
        <v>42177</v>
      </c>
      <c r="G35" s="97">
        <v>43461</v>
      </c>
      <c r="H35" s="98">
        <f t="shared" si="0"/>
        <v>3.5154004106776182</v>
      </c>
      <c r="I35" s="99" t="s">
        <v>94</v>
      </c>
      <c r="J35" s="94" t="s">
        <v>139</v>
      </c>
      <c r="K35" s="94"/>
      <c r="L35" s="94" t="s">
        <v>34</v>
      </c>
      <c r="M35" s="94" t="s">
        <v>24</v>
      </c>
      <c r="N35" s="99" t="s">
        <v>154</v>
      </c>
      <c r="O35" s="99" t="s">
        <v>158</v>
      </c>
      <c r="P35" s="99" t="s">
        <v>155</v>
      </c>
      <c r="Q35" s="94" t="s">
        <v>32</v>
      </c>
      <c r="R35" s="99" t="s">
        <v>43</v>
      </c>
      <c r="S35" s="101">
        <v>1</v>
      </c>
      <c r="T35" s="94" t="s">
        <v>729</v>
      </c>
      <c r="U35" s="102">
        <v>60</v>
      </c>
      <c r="V35" s="9"/>
      <c r="W35" s="9"/>
      <c r="X35" s="9" t="s">
        <v>705</v>
      </c>
      <c r="Y35" s="9"/>
      <c r="Z35" s="9" t="s">
        <v>705</v>
      </c>
      <c r="AA35" s="9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34"/>
      <c r="BT35" s="34"/>
      <c r="BU35" s="34"/>
      <c r="BV35" s="34"/>
      <c r="BW35" s="34"/>
      <c r="BX35" s="34"/>
      <c r="BY35" s="34"/>
      <c r="BZ35" s="34"/>
      <c r="CA35" s="34"/>
      <c r="CB35" s="34"/>
      <c r="CC35" s="34"/>
      <c r="CD35" s="34"/>
      <c r="CE35" s="34"/>
      <c r="CF35" s="34"/>
      <c r="CG35" s="34"/>
      <c r="CH35" s="34"/>
      <c r="CI35" s="34"/>
      <c r="CJ35" s="34"/>
      <c r="CK35" s="34"/>
      <c r="CL35" s="34"/>
      <c r="CM35" s="34"/>
      <c r="CN35" s="34"/>
      <c r="CO35" s="34"/>
      <c r="CP35" s="34"/>
      <c r="CQ35" s="34"/>
      <c r="CR35" s="34"/>
      <c r="CS35" s="34"/>
      <c r="CT35" s="34"/>
      <c r="CU35" s="34"/>
      <c r="CV35" s="34"/>
      <c r="CW35" s="34"/>
      <c r="CX35" s="34"/>
      <c r="CY35" s="34"/>
    </row>
    <row r="36" spans="1:103" ht="32" customHeight="1" thickBot="1">
      <c r="B36" s="186" t="s">
        <v>166</v>
      </c>
      <c r="C36" s="187"/>
      <c r="D36" s="187"/>
      <c r="E36" s="187"/>
      <c r="F36" s="43"/>
      <c r="G36" s="43"/>
      <c r="H36" s="44"/>
      <c r="I36" s="45"/>
      <c r="J36" s="27"/>
      <c r="K36" s="27"/>
      <c r="L36" s="27"/>
      <c r="M36" s="27"/>
      <c r="N36" s="28"/>
      <c r="O36" s="29"/>
      <c r="P36" s="28"/>
      <c r="Q36" s="27"/>
      <c r="R36" s="28"/>
      <c r="S36" s="27"/>
      <c r="T36" s="27"/>
      <c r="U36" s="27"/>
      <c r="V36" s="27">
        <v>3</v>
      </c>
      <c r="W36" s="27" t="s">
        <v>722</v>
      </c>
      <c r="X36" s="27">
        <v>1</v>
      </c>
      <c r="Y36" s="27" t="s">
        <v>745</v>
      </c>
      <c r="Z36" s="27">
        <v>2</v>
      </c>
      <c r="AA36" s="27" t="s">
        <v>722</v>
      </c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32"/>
    </row>
    <row r="37" spans="1:103" ht="32" customHeight="1">
      <c r="B37" s="77" t="s">
        <v>168</v>
      </c>
      <c r="C37" s="78"/>
      <c r="D37" s="77" t="s">
        <v>95</v>
      </c>
      <c r="E37" s="79">
        <v>1604379</v>
      </c>
      <c r="F37" s="80">
        <v>39480</v>
      </c>
      <c r="G37" s="80">
        <v>43054</v>
      </c>
      <c r="H37" s="81">
        <f t="shared" si="0"/>
        <v>9.7850787132101296</v>
      </c>
      <c r="I37" s="82" t="s">
        <v>96</v>
      </c>
      <c r="J37" s="77" t="s">
        <v>140</v>
      </c>
      <c r="K37" s="77"/>
      <c r="L37" s="77" t="s">
        <v>34</v>
      </c>
      <c r="M37" s="77" t="s">
        <v>24</v>
      </c>
      <c r="N37" s="82" t="s">
        <v>160</v>
      </c>
      <c r="O37" s="82" t="s">
        <v>159</v>
      </c>
      <c r="P37" s="82" t="s">
        <v>161</v>
      </c>
      <c r="Q37" s="77" t="s">
        <v>47</v>
      </c>
      <c r="R37" s="82" t="s">
        <v>47</v>
      </c>
      <c r="S37" s="92"/>
      <c r="T37" s="77"/>
      <c r="U37" s="93"/>
      <c r="V37" s="9"/>
      <c r="W37" s="9"/>
      <c r="X37" s="9"/>
      <c r="Y37" s="9"/>
      <c r="Z37" s="9"/>
      <c r="AA37" s="9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</row>
    <row r="38" spans="1:103" ht="32" customHeight="1">
      <c r="A38" s="34" t="s">
        <v>705</v>
      </c>
      <c r="B38" s="85" t="s">
        <v>169</v>
      </c>
      <c r="C38" s="86" t="s">
        <v>564</v>
      </c>
      <c r="D38" s="85" t="s">
        <v>97</v>
      </c>
      <c r="E38" s="87">
        <v>1696524</v>
      </c>
      <c r="F38" s="88">
        <v>38341</v>
      </c>
      <c r="G38" s="88">
        <v>43636</v>
      </c>
      <c r="H38" s="89">
        <f t="shared" si="0"/>
        <v>14.496919917864476</v>
      </c>
      <c r="I38" s="90" t="s">
        <v>98</v>
      </c>
      <c r="J38" s="9" t="s">
        <v>141</v>
      </c>
      <c r="K38" s="9"/>
      <c r="L38" s="9" t="s">
        <v>34</v>
      </c>
      <c r="M38" s="9" t="s">
        <v>28</v>
      </c>
      <c r="N38" s="13" t="s">
        <v>160</v>
      </c>
      <c r="O38" s="13" t="s">
        <v>159</v>
      </c>
      <c r="P38" s="13" t="s">
        <v>162</v>
      </c>
      <c r="Q38" s="9" t="s">
        <v>47</v>
      </c>
      <c r="R38" s="13" t="s">
        <v>47</v>
      </c>
      <c r="S38" s="38">
        <v>1</v>
      </c>
      <c r="T38" s="9" t="s">
        <v>659</v>
      </c>
      <c r="U38" s="39"/>
      <c r="V38" s="9"/>
      <c r="W38" s="9"/>
      <c r="X38" s="9" t="s">
        <v>744</v>
      </c>
      <c r="Y38" s="9"/>
      <c r="Z38" s="9"/>
      <c r="AA38" s="9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34"/>
      <c r="BW38" s="34"/>
      <c r="BX38" s="34"/>
      <c r="BY38" s="34"/>
      <c r="BZ38" s="34"/>
      <c r="CA38" s="34"/>
      <c r="CB38" s="34"/>
      <c r="CC38" s="34"/>
      <c r="CD38" s="34"/>
      <c r="CE38" s="34"/>
      <c r="CF38" s="34"/>
      <c r="CG38" s="34"/>
      <c r="CH38" s="34"/>
      <c r="CI38" s="34"/>
      <c r="CJ38" s="34"/>
      <c r="CK38" s="34"/>
      <c r="CL38" s="34"/>
      <c r="CM38" s="34"/>
      <c r="CN38" s="34"/>
      <c r="CO38" s="34"/>
      <c r="CP38" s="34"/>
      <c r="CQ38" s="34"/>
      <c r="CR38" s="34"/>
      <c r="CS38" s="34"/>
      <c r="CT38" s="34"/>
      <c r="CU38" s="34"/>
      <c r="CV38" s="34"/>
      <c r="CW38" s="34"/>
      <c r="CX38" s="34"/>
      <c r="CY38" s="34"/>
    </row>
    <row r="39" spans="1:103" ht="32" customHeight="1">
      <c r="A39" s="34" t="s">
        <v>705</v>
      </c>
      <c r="B39" s="94" t="s">
        <v>175</v>
      </c>
      <c r="C39" s="95"/>
      <c r="D39" s="94" t="s">
        <v>99</v>
      </c>
      <c r="E39" s="106">
        <v>1683555</v>
      </c>
      <c r="F39" s="97">
        <v>42958</v>
      </c>
      <c r="G39" s="97">
        <v>43663</v>
      </c>
      <c r="H39" s="98">
        <f t="shared" si="0"/>
        <v>1.9301848049281314</v>
      </c>
      <c r="I39" s="99" t="s">
        <v>100</v>
      </c>
      <c r="J39" s="94" t="s">
        <v>142</v>
      </c>
      <c r="K39" s="94"/>
      <c r="L39" s="94" t="s">
        <v>34</v>
      </c>
      <c r="M39" s="94" t="s">
        <v>28</v>
      </c>
      <c r="N39" s="99" t="s">
        <v>160</v>
      </c>
      <c r="O39" s="99" t="s">
        <v>159</v>
      </c>
      <c r="P39" s="99" t="s">
        <v>163</v>
      </c>
      <c r="Q39" s="94" t="s">
        <v>47</v>
      </c>
      <c r="R39" s="99" t="s">
        <v>47</v>
      </c>
      <c r="S39" s="101">
        <v>1</v>
      </c>
      <c r="T39" s="94" t="s">
        <v>730</v>
      </c>
      <c r="U39" s="102">
        <v>0</v>
      </c>
      <c r="V39" s="9" t="s">
        <v>705</v>
      </c>
      <c r="W39" s="9"/>
      <c r="X39" s="9">
        <v>170</v>
      </c>
      <c r="Y39" s="9"/>
      <c r="Z39" s="9" t="s">
        <v>705</v>
      </c>
      <c r="AA39" s="9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  <c r="CD39" s="34"/>
      <c r="CE39" s="34"/>
      <c r="CF39" s="34"/>
      <c r="CG39" s="34"/>
      <c r="CH39" s="34"/>
      <c r="CI39" s="34"/>
      <c r="CJ39" s="34"/>
      <c r="CK39" s="34"/>
      <c r="CL39" s="34"/>
      <c r="CM39" s="34"/>
      <c r="CN39" s="34"/>
      <c r="CO39" s="34"/>
      <c r="CP39" s="34"/>
      <c r="CQ39" s="34"/>
      <c r="CR39" s="34"/>
      <c r="CS39" s="34"/>
      <c r="CT39" s="34"/>
      <c r="CU39" s="34"/>
      <c r="CV39" s="34"/>
      <c r="CW39" s="34"/>
      <c r="CX39" s="34"/>
      <c r="CY39" s="34"/>
    </row>
    <row r="40" spans="1:103" ht="32" customHeight="1" thickBot="1">
      <c r="A40" s="34" t="s">
        <v>705</v>
      </c>
      <c r="B40" s="94" t="s">
        <v>182</v>
      </c>
      <c r="C40" s="95"/>
      <c r="D40" s="94" t="s">
        <v>101</v>
      </c>
      <c r="E40" s="106">
        <v>1319743</v>
      </c>
      <c r="F40" s="97">
        <v>40400</v>
      </c>
      <c r="G40" s="97">
        <v>43430</v>
      </c>
      <c r="H40" s="98">
        <f t="shared" si="0"/>
        <v>8.2956878850102669</v>
      </c>
      <c r="I40" s="99" t="s">
        <v>102</v>
      </c>
      <c r="J40" s="94" t="s">
        <v>143</v>
      </c>
      <c r="K40" s="94"/>
      <c r="L40" s="94" t="s">
        <v>34</v>
      </c>
      <c r="M40" s="94" t="s">
        <v>28</v>
      </c>
      <c r="N40" s="99" t="s">
        <v>164</v>
      </c>
      <c r="O40" s="99" t="s">
        <v>159</v>
      </c>
      <c r="P40" s="99" t="s">
        <v>165</v>
      </c>
      <c r="Q40" s="94" t="s">
        <v>47</v>
      </c>
      <c r="R40" s="99" t="s">
        <v>47</v>
      </c>
      <c r="S40" s="101">
        <v>1</v>
      </c>
      <c r="T40" s="94" t="s">
        <v>731</v>
      </c>
      <c r="U40" s="102">
        <v>50</v>
      </c>
      <c r="V40" s="9">
        <v>180</v>
      </c>
      <c r="W40" s="9"/>
      <c r="X40" s="9">
        <v>180</v>
      </c>
      <c r="Y40" s="9"/>
      <c r="Z40" s="9">
        <v>180</v>
      </c>
      <c r="AA40" s="9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4"/>
      <c r="BK40" s="34"/>
      <c r="BL40" s="34"/>
      <c r="BM40" s="34"/>
      <c r="BN40" s="34"/>
      <c r="BO40" s="34"/>
      <c r="BP40" s="34"/>
      <c r="BQ40" s="34"/>
      <c r="BR40" s="34"/>
      <c r="BS40" s="34"/>
      <c r="BT40" s="34"/>
      <c r="BU40" s="34"/>
      <c r="BV40" s="34"/>
      <c r="BW40" s="34"/>
      <c r="BX40" s="34"/>
      <c r="BY40" s="34"/>
      <c r="BZ40" s="34"/>
      <c r="CA40" s="34"/>
      <c r="CB40" s="34"/>
      <c r="CC40" s="34"/>
      <c r="CD40" s="34"/>
      <c r="CE40" s="34"/>
      <c r="CF40" s="34"/>
      <c r="CG40" s="34"/>
      <c r="CH40" s="34"/>
      <c r="CI40" s="34"/>
      <c r="CJ40" s="34"/>
      <c r="CK40" s="34"/>
      <c r="CL40" s="34"/>
      <c r="CM40" s="34"/>
      <c r="CN40" s="34"/>
      <c r="CO40" s="34"/>
      <c r="CP40" s="34"/>
      <c r="CQ40" s="34"/>
      <c r="CR40" s="34"/>
      <c r="CS40" s="34"/>
      <c r="CT40" s="34"/>
      <c r="CU40" s="34"/>
      <c r="CV40" s="34"/>
      <c r="CW40" s="34"/>
      <c r="CX40" s="34"/>
      <c r="CY40" s="34"/>
    </row>
    <row r="41" spans="1:103" ht="32" customHeight="1" thickBot="1">
      <c r="B41" s="186" t="s">
        <v>167</v>
      </c>
      <c r="C41" s="187"/>
      <c r="D41" s="187"/>
      <c r="E41" s="187"/>
      <c r="F41" s="43"/>
      <c r="G41" s="43"/>
      <c r="H41" s="44"/>
      <c r="I41" s="45"/>
      <c r="J41" s="27"/>
      <c r="K41" s="27"/>
      <c r="L41" s="27"/>
      <c r="M41" s="27"/>
      <c r="N41" s="28"/>
      <c r="O41" s="29"/>
      <c r="P41" s="28"/>
      <c r="Q41" s="27"/>
      <c r="R41" s="28"/>
      <c r="S41" s="27"/>
      <c r="T41" s="27"/>
      <c r="U41" s="27"/>
      <c r="V41" s="27">
        <v>1</v>
      </c>
      <c r="W41" s="27" t="s">
        <v>722</v>
      </c>
      <c r="X41" s="27">
        <v>2</v>
      </c>
      <c r="Y41" s="27" t="s">
        <v>722</v>
      </c>
      <c r="Z41" s="27">
        <v>3</v>
      </c>
      <c r="AA41" s="27" t="s">
        <v>722</v>
      </c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32"/>
    </row>
    <row r="42" spans="1:103" ht="32" customHeight="1">
      <c r="A42" s="34" t="s">
        <v>705</v>
      </c>
      <c r="B42" s="94" t="s">
        <v>189</v>
      </c>
      <c r="C42" s="95" t="s">
        <v>539</v>
      </c>
      <c r="D42" s="94" t="s">
        <v>171</v>
      </c>
      <c r="E42" s="94">
        <v>1534945</v>
      </c>
      <c r="F42" s="97">
        <v>42287</v>
      </c>
      <c r="G42" s="97">
        <v>42734</v>
      </c>
      <c r="H42" s="98">
        <f t="shared" si="0"/>
        <v>1.2238193018480492</v>
      </c>
      <c r="I42" s="99" t="s">
        <v>170</v>
      </c>
      <c r="J42" s="94" t="s">
        <v>173</v>
      </c>
      <c r="K42" s="94"/>
      <c r="L42" s="94" t="s">
        <v>34</v>
      </c>
      <c r="M42" s="94" t="s">
        <v>28</v>
      </c>
      <c r="N42" s="99" t="s">
        <v>178</v>
      </c>
      <c r="O42" s="100" t="s">
        <v>590</v>
      </c>
      <c r="P42" s="99" t="s">
        <v>179</v>
      </c>
      <c r="Q42" s="94" t="s">
        <v>32</v>
      </c>
      <c r="R42" s="99" t="s">
        <v>47</v>
      </c>
      <c r="S42" s="101">
        <v>1</v>
      </c>
      <c r="T42" s="94" t="s">
        <v>637</v>
      </c>
      <c r="U42" s="102">
        <v>10</v>
      </c>
      <c r="V42" s="9" t="s">
        <v>705</v>
      </c>
      <c r="W42" s="9"/>
      <c r="X42" s="9" t="s">
        <v>705</v>
      </c>
      <c r="Y42" s="9"/>
      <c r="Z42" s="9" t="s">
        <v>705</v>
      </c>
      <c r="AA42" s="9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</row>
    <row r="43" spans="1:103" ht="32" customHeight="1">
      <c r="A43" s="34" t="s">
        <v>705</v>
      </c>
      <c r="B43" s="94" t="s">
        <v>256</v>
      </c>
      <c r="C43" s="95" t="s">
        <v>544</v>
      </c>
      <c r="D43" s="94" t="s">
        <v>172</v>
      </c>
      <c r="E43" s="94">
        <v>1534945</v>
      </c>
      <c r="F43" s="97">
        <v>42287</v>
      </c>
      <c r="G43" s="97">
        <v>43823</v>
      </c>
      <c r="H43" s="98">
        <f t="shared" si="0"/>
        <v>4.2053388090349078</v>
      </c>
      <c r="I43" s="99" t="s">
        <v>170</v>
      </c>
      <c r="J43" s="94" t="s">
        <v>173</v>
      </c>
      <c r="K43" s="94"/>
      <c r="L43" s="94" t="s">
        <v>34</v>
      </c>
      <c r="M43" s="94" t="s">
        <v>28</v>
      </c>
      <c r="N43" s="99" t="s">
        <v>178</v>
      </c>
      <c r="O43" s="100" t="s">
        <v>590</v>
      </c>
      <c r="P43" s="99" t="s">
        <v>179</v>
      </c>
      <c r="Q43" s="94" t="s">
        <v>32</v>
      </c>
      <c r="R43" s="99" t="s">
        <v>47</v>
      </c>
      <c r="S43" s="101">
        <v>1</v>
      </c>
      <c r="T43" s="94" t="s">
        <v>737</v>
      </c>
      <c r="U43" s="102">
        <v>0</v>
      </c>
      <c r="V43" s="9">
        <v>180</v>
      </c>
      <c r="W43" s="9"/>
      <c r="X43" s="9">
        <v>180</v>
      </c>
      <c r="Y43" s="9"/>
      <c r="Z43" s="9">
        <v>160</v>
      </c>
      <c r="AA43" s="9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34"/>
      <c r="BL43" s="34"/>
      <c r="BM43" s="34"/>
      <c r="BN43" s="34"/>
      <c r="BO43" s="34"/>
      <c r="BP43" s="34"/>
      <c r="BQ43" s="34"/>
      <c r="BR43" s="34"/>
      <c r="BS43" s="34"/>
      <c r="BT43" s="34"/>
      <c r="BU43" s="34"/>
      <c r="BV43" s="34"/>
      <c r="BW43" s="34"/>
      <c r="BX43" s="34"/>
      <c r="BY43" s="34"/>
      <c r="BZ43" s="34"/>
      <c r="CA43" s="34"/>
      <c r="CB43" s="34"/>
      <c r="CC43" s="34"/>
      <c r="CD43" s="34"/>
      <c r="CE43" s="34"/>
      <c r="CF43" s="34"/>
      <c r="CG43" s="34"/>
      <c r="CH43" s="34"/>
      <c r="CI43" s="34"/>
      <c r="CJ43" s="34"/>
      <c r="CK43" s="34"/>
      <c r="CL43" s="34"/>
      <c r="CM43" s="34"/>
      <c r="CN43" s="34"/>
      <c r="CO43" s="34"/>
      <c r="CP43" s="34"/>
      <c r="CQ43" s="34"/>
      <c r="CR43" s="34"/>
      <c r="CS43" s="34"/>
      <c r="CT43" s="34"/>
      <c r="CU43" s="34"/>
      <c r="CV43" s="34"/>
      <c r="CW43" s="34"/>
      <c r="CX43" s="34"/>
      <c r="CY43" s="34"/>
    </row>
    <row r="44" spans="1:103" ht="32" customHeight="1" thickBot="1">
      <c r="B44" s="9" t="s">
        <v>257</v>
      </c>
      <c r="C44" s="35"/>
      <c r="D44" s="9" t="s">
        <v>174</v>
      </c>
      <c r="E44" s="9">
        <v>1065020</v>
      </c>
      <c r="F44" s="8">
        <v>38575</v>
      </c>
      <c r="G44" s="8">
        <v>38756</v>
      </c>
      <c r="H44" s="36">
        <f t="shared" si="0"/>
        <v>0.49555099247091033</v>
      </c>
      <c r="I44" s="13" t="s">
        <v>176</v>
      </c>
      <c r="J44" s="9" t="s">
        <v>177</v>
      </c>
      <c r="K44" s="9"/>
      <c r="L44" s="9" t="s">
        <v>34</v>
      </c>
      <c r="M44" s="9" t="s">
        <v>24</v>
      </c>
      <c r="N44" s="13" t="s">
        <v>178</v>
      </c>
      <c r="O44" s="37" t="s">
        <v>590</v>
      </c>
      <c r="P44" s="13" t="s">
        <v>180</v>
      </c>
      <c r="Q44" s="9" t="s">
        <v>47</v>
      </c>
      <c r="R44" s="13" t="s">
        <v>47</v>
      </c>
      <c r="S44" s="38"/>
      <c r="T44" s="9"/>
      <c r="U44" s="39"/>
      <c r="V44" s="9"/>
      <c r="W44" s="9"/>
      <c r="X44" s="9"/>
      <c r="Y44" s="9"/>
      <c r="Z44" s="9"/>
      <c r="AA44" s="9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4"/>
      <c r="BK44" s="34"/>
      <c r="BL44" s="34"/>
      <c r="BM44" s="34"/>
      <c r="BN44" s="34"/>
      <c r="BO44" s="34"/>
      <c r="BP44" s="34"/>
      <c r="BQ44" s="34"/>
      <c r="BR44" s="34"/>
      <c r="BS44" s="34"/>
      <c r="BT44" s="34"/>
      <c r="BU44" s="34"/>
      <c r="BV44" s="34"/>
      <c r="BW44" s="34"/>
      <c r="BX44" s="34"/>
      <c r="BY44" s="34"/>
      <c r="BZ44" s="34"/>
      <c r="CA44" s="34"/>
      <c r="CB44" s="34"/>
      <c r="CC44" s="34"/>
      <c r="CD44" s="34"/>
      <c r="CE44" s="34"/>
      <c r="CF44" s="34"/>
      <c r="CG44" s="34"/>
      <c r="CH44" s="34"/>
      <c r="CI44" s="34"/>
      <c r="CJ44" s="34"/>
      <c r="CK44" s="34"/>
      <c r="CL44" s="34"/>
      <c r="CM44" s="34"/>
      <c r="CN44" s="34"/>
      <c r="CO44" s="34"/>
      <c r="CP44" s="34"/>
      <c r="CQ44" s="34"/>
      <c r="CR44" s="34"/>
      <c r="CS44" s="34"/>
      <c r="CT44" s="34"/>
      <c r="CU44" s="34"/>
      <c r="CV44" s="34"/>
      <c r="CW44" s="34"/>
      <c r="CX44" s="34"/>
      <c r="CY44" s="34"/>
    </row>
    <row r="45" spans="1:103" ht="32" customHeight="1" thickBot="1">
      <c r="B45" s="186" t="s">
        <v>181</v>
      </c>
      <c r="C45" s="187"/>
      <c r="D45" s="187"/>
      <c r="E45" s="187"/>
      <c r="F45" s="43"/>
      <c r="G45" s="43"/>
      <c r="H45" s="44"/>
      <c r="I45" s="45"/>
      <c r="J45" s="27"/>
      <c r="K45" s="27"/>
      <c r="L45" s="27"/>
      <c r="M45" s="27"/>
      <c r="N45" s="28"/>
      <c r="O45" s="29"/>
      <c r="P45" s="28"/>
      <c r="Q45" s="27"/>
      <c r="R45" s="28"/>
      <c r="S45" s="27"/>
      <c r="T45" s="27"/>
      <c r="U45" s="27"/>
      <c r="V45" s="27">
        <v>3</v>
      </c>
      <c r="W45" s="27"/>
      <c r="X45" s="27">
        <v>2</v>
      </c>
      <c r="Y45" s="27"/>
      <c r="Z45" s="27">
        <v>1</v>
      </c>
      <c r="AA45" s="27" t="s">
        <v>742</v>
      </c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32"/>
    </row>
    <row r="46" spans="1:103" ht="32" customHeight="1" thickBot="1">
      <c r="A46" s="34" t="s">
        <v>705</v>
      </c>
      <c r="B46" s="94" t="s">
        <v>201</v>
      </c>
      <c r="C46" s="95"/>
      <c r="D46" s="94" t="s">
        <v>184</v>
      </c>
      <c r="E46" s="94">
        <v>1530557</v>
      </c>
      <c r="F46" s="97">
        <v>42307</v>
      </c>
      <c r="G46" s="97">
        <v>42703</v>
      </c>
      <c r="H46" s="98">
        <f t="shared" si="0"/>
        <v>1.0841889117043122</v>
      </c>
      <c r="I46" s="99" t="s">
        <v>183</v>
      </c>
      <c r="J46" s="94" t="s">
        <v>185</v>
      </c>
      <c r="K46" s="94"/>
      <c r="L46" s="94" t="s">
        <v>34</v>
      </c>
      <c r="M46" s="94" t="s">
        <v>24</v>
      </c>
      <c r="N46" s="99" t="s">
        <v>178</v>
      </c>
      <c r="O46" s="100" t="s">
        <v>187</v>
      </c>
      <c r="P46" s="99" t="s">
        <v>186</v>
      </c>
      <c r="Q46" s="94" t="s">
        <v>32</v>
      </c>
      <c r="R46" s="99" t="s">
        <v>47</v>
      </c>
      <c r="S46" s="101">
        <v>1</v>
      </c>
      <c r="T46" s="94" t="s">
        <v>715</v>
      </c>
      <c r="U46" s="102">
        <v>30</v>
      </c>
      <c r="V46" s="9" t="s">
        <v>705</v>
      </c>
      <c r="W46" s="9"/>
      <c r="X46" s="9" t="s">
        <v>705</v>
      </c>
      <c r="Y46" s="9"/>
      <c r="Z46" s="9">
        <v>180</v>
      </c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4"/>
      <c r="BH46" s="34"/>
      <c r="BI46" s="34"/>
      <c r="BJ46" s="34"/>
      <c r="BK46" s="34"/>
      <c r="BL46" s="34"/>
      <c r="BM46" s="34"/>
      <c r="BN46" s="34"/>
      <c r="BO46" s="34"/>
      <c r="BP46" s="34"/>
      <c r="BQ46" s="34"/>
      <c r="BR46" s="34"/>
      <c r="BS46" s="34"/>
      <c r="BT46" s="34"/>
      <c r="BU46" s="34"/>
      <c r="BV46" s="34"/>
      <c r="BW46" s="34"/>
      <c r="BX46" s="34"/>
      <c r="BY46" s="34"/>
      <c r="BZ46" s="34"/>
      <c r="CA46" s="34"/>
      <c r="CB46" s="34"/>
      <c r="CC46" s="34"/>
      <c r="CD46" s="34"/>
      <c r="CE46" s="34"/>
      <c r="CF46" s="34"/>
      <c r="CG46" s="34"/>
      <c r="CH46" s="34"/>
      <c r="CI46" s="34"/>
      <c r="CJ46" s="34"/>
      <c r="CK46" s="34"/>
      <c r="CL46" s="34"/>
      <c r="CM46" s="34"/>
      <c r="CN46" s="34"/>
      <c r="CO46" s="34"/>
      <c r="CP46" s="34"/>
      <c r="CQ46" s="34"/>
      <c r="CR46" s="34"/>
      <c r="CS46" s="34"/>
      <c r="CT46" s="34"/>
      <c r="CU46" s="34"/>
      <c r="CV46" s="34"/>
      <c r="CW46" s="34"/>
      <c r="CX46" s="34"/>
      <c r="CY46" s="34"/>
    </row>
    <row r="47" spans="1:103" ht="32" customHeight="1" thickBot="1">
      <c r="B47" s="186" t="s">
        <v>188</v>
      </c>
      <c r="C47" s="187"/>
      <c r="D47" s="187"/>
      <c r="E47" s="187"/>
      <c r="F47" s="43"/>
      <c r="G47" s="43"/>
      <c r="H47" s="44"/>
      <c r="I47" s="45"/>
      <c r="J47" s="27"/>
      <c r="K47" s="27"/>
      <c r="L47" s="27"/>
      <c r="M47" s="27"/>
      <c r="N47" s="28"/>
      <c r="O47" s="29"/>
      <c r="P47" s="28"/>
      <c r="Q47" s="27"/>
      <c r="R47" s="28"/>
      <c r="S47" s="27"/>
      <c r="T47" s="27"/>
      <c r="U47" s="27"/>
      <c r="V47" s="27">
        <v>2</v>
      </c>
      <c r="W47" s="27" t="s">
        <v>740</v>
      </c>
      <c r="X47" s="27">
        <v>1</v>
      </c>
      <c r="Y47" s="27" t="s">
        <v>746</v>
      </c>
      <c r="Z47" s="27">
        <v>3</v>
      </c>
      <c r="AA47" s="27" t="s">
        <v>722</v>
      </c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32"/>
    </row>
    <row r="48" spans="1:103" s="33" customFormat="1" ht="32" customHeight="1">
      <c r="A48" s="34" t="s">
        <v>705</v>
      </c>
      <c r="B48" s="94" t="s">
        <v>241</v>
      </c>
      <c r="C48" s="95" t="s">
        <v>576</v>
      </c>
      <c r="D48" s="94" t="s">
        <v>190</v>
      </c>
      <c r="E48" s="106">
        <v>1631027</v>
      </c>
      <c r="F48" s="97">
        <v>38844</v>
      </c>
      <c r="G48" s="97">
        <v>43140</v>
      </c>
      <c r="H48" s="98">
        <f t="shared" si="0"/>
        <v>11.761806981519507</v>
      </c>
      <c r="I48" s="99" t="s">
        <v>191</v>
      </c>
      <c r="J48" s="94" t="s">
        <v>192</v>
      </c>
      <c r="K48" s="94"/>
      <c r="L48" s="94" t="s">
        <v>34</v>
      </c>
      <c r="M48" s="94" t="s">
        <v>24</v>
      </c>
      <c r="N48" s="99" t="s">
        <v>196</v>
      </c>
      <c r="O48" s="100" t="s">
        <v>193</v>
      </c>
      <c r="P48" s="99" t="s">
        <v>194</v>
      </c>
      <c r="Q48" s="94" t="s">
        <v>47</v>
      </c>
      <c r="R48" s="99" t="s">
        <v>47</v>
      </c>
      <c r="S48" s="101">
        <v>1</v>
      </c>
      <c r="T48" s="94" t="s">
        <v>669</v>
      </c>
      <c r="U48" s="102">
        <v>0</v>
      </c>
      <c r="V48" s="46">
        <v>100</v>
      </c>
      <c r="W48" s="46"/>
      <c r="X48" s="46">
        <v>180</v>
      </c>
      <c r="Y48" s="46"/>
      <c r="Z48" s="46" t="s">
        <v>705</v>
      </c>
      <c r="AA48" s="46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</row>
    <row r="49" spans="1:39" s="33" customFormat="1" ht="32" customHeight="1">
      <c r="A49" s="34" t="s">
        <v>705</v>
      </c>
      <c r="B49" s="94" t="s">
        <v>242</v>
      </c>
      <c r="C49" s="95" t="s">
        <v>540</v>
      </c>
      <c r="D49" s="94" t="s">
        <v>199</v>
      </c>
      <c r="E49" s="94">
        <v>979673</v>
      </c>
      <c r="F49" s="97">
        <v>37339</v>
      </c>
      <c r="G49" s="97">
        <v>43140</v>
      </c>
      <c r="H49" s="98">
        <f t="shared" si="0"/>
        <v>15.88227241615332</v>
      </c>
      <c r="I49" s="99" t="s">
        <v>197</v>
      </c>
      <c r="J49" s="94" t="s">
        <v>198</v>
      </c>
      <c r="K49" s="94"/>
      <c r="L49" s="94" t="s">
        <v>34</v>
      </c>
      <c r="M49" s="94" t="s">
        <v>28</v>
      </c>
      <c r="N49" s="99" t="s">
        <v>196</v>
      </c>
      <c r="O49" s="100" t="s">
        <v>193</v>
      </c>
      <c r="P49" s="99" t="s">
        <v>195</v>
      </c>
      <c r="Q49" s="94" t="s">
        <v>32</v>
      </c>
      <c r="R49" s="99" t="s">
        <v>43</v>
      </c>
      <c r="S49" s="101">
        <v>1</v>
      </c>
      <c r="T49" s="94" t="s">
        <v>231</v>
      </c>
      <c r="U49" s="102">
        <v>0</v>
      </c>
      <c r="V49" s="46">
        <v>120</v>
      </c>
      <c r="W49" s="46"/>
      <c r="X49" s="46">
        <v>180</v>
      </c>
      <c r="Y49" s="46"/>
      <c r="Z49" s="46" t="s">
        <v>705</v>
      </c>
      <c r="AA49" s="46"/>
    </row>
    <row r="50" spans="1:39" ht="32" customHeight="1" thickBot="1">
      <c r="B50" s="46" t="s">
        <v>243</v>
      </c>
      <c r="C50" s="55"/>
      <c r="D50" s="9" t="s">
        <v>200</v>
      </c>
      <c r="E50" s="46">
        <v>979673</v>
      </c>
      <c r="F50" s="8">
        <v>37339</v>
      </c>
      <c r="G50" s="8">
        <v>38128</v>
      </c>
      <c r="H50" s="36">
        <f t="shared" si="0"/>
        <v>2.1601642710472277</v>
      </c>
      <c r="I50" s="50" t="s">
        <v>197</v>
      </c>
      <c r="J50" s="46" t="s">
        <v>198</v>
      </c>
      <c r="K50" s="46"/>
      <c r="L50" s="46" t="s">
        <v>34</v>
      </c>
      <c r="M50" s="46" t="s">
        <v>28</v>
      </c>
      <c r="N50" s="50" t="s">
        <v>196</v>
      </c>
      <c r="O50" s="51" t="s">
        <v>193</v>
      </c>
      <c r="P50" s="50" t="s">
        <v>195</v>
      </c>
      <c r="Q50" s="46" t="s">
        <v>47</v>
      </c>
      <c r="R50" s="50" t="s">
        <v>47</v>
      </c>
      <c r="S50" s="52"/>
      <c r="T50" s="9"/>
      <c r="U50" s="39"/>
      <c r="V50" s="9"/>
      <c r="W50" s="9"/>
      <c r="X50" s="9"/>
      <c r="Y50" s="9"/>
      <c r="Z50" s="9"/>
      <c r="AA50" s="9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</row>
    <row r="51" spans="1:39" ht="32" customHeight="1" thickBot="1">
      <c r="B51" s="186" t="s">
        <v>435</v>
      </c>
      <c r="C51" s="187"/>
      <c r="D51" s="187"/>
      <c r="E51" s="187"/>
      <c r="F51" s="43"/>
      <c r="G51" s="43"/>
      <c r="H51" s="44"/>
      <c r="I51" s="45"/>
      <c r="J51" s="27"/>
      <c r="K51" s="27"/>
      <c r="L51" s="27"/>
      <c r="M51" s="27"/>
      <c r="N51" s="28"/>
      <c r="O51" s="29"/>
      <c r="P51" s="28"/>
      <c r="Q51" s="27"/>
      <c r="R51" s="28"/>
      <c r="S51" s="27"/>
      <c r="T51" s="27"/>
      <c r="U51" s="27"/>
      <c r="V51" s="27">
        <v>1</v>
      </c>
      <c r="W51" s="27" t="s">
        <v>740</v>
      </c>
      <c r="X51" s="27">
        <v>2</v>
      </c>
      <c r="Y51" s="27" t="s">
        <v>741</v>
      </c>
      <c r="Z51" s="27">
        <v>3</v>
      </c>
      <c r="AA51" s="27" t="s">
        <v>742</v>
      </c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32"/>
    </row>
    <row r="52" spans="1:39" ht="32" customHeight="1">
      <c r="B52" s="77" t="s">
        <v>244</v>
      </c>
      <c r="C52" s="78" t="s">
        <v>554</v>
      </c>
      <c r="D52" s="148" t="s">
        <v>204</v>
      </c>
      <c r="E52" s="149">
        <v>1152185</v>
      </c>
      <c r="F52" s="150">
        <v>38683</v>
      </c>
      <c r="G52" s="150">
        <v>39652</v>
      </c>
      <c r="H52" s="81">
        <f t="shared" si="0"/>
        <v>2.6529774127310062</v>
      </c>
      <c r="I52" s="151" t="s">
        <v>202</v>
      </c>
      <c r="J52" s="77" t="s">
        <v>203</v>
      </c>
      <c r="K52" s="77"/>
      <c r="L52" s="77" t="s">
        <v>34</v>
      </c>
      <c r="M52" s="77" t="s">
        <v>24</v>
      </c>
      <c r="N52" s="82" t="s">
        <v>206</v>
      </c>
      <c r="O52" s="91" t="s">
        <v>261</v>
      </c>
      <c r="P52" s="82" t="s">
        <v>205</v>
      </c>
      <c r="Q52" s="77" t="s">
        <v>32</v>
      </c>
      <c r="R52" s="82" t="s">
        <v>270</v>
      </c>
      <c r="S52" s="92"/>
      <c r="T52" s="77"/>
      <c r="U52" s="93"/>
      <c r="V52" s="9"/>
      <c r="W52" s="9"/>
      <c r="X52" s="9"/>
      <c r="Y52" s="9"/>
      <c r="Z52" s="9"/>
      <c r="AA52" s="9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</row>
    <row r="53" spans="1:39" ht="32" customHeight="1">
      <c r="B53" s="77" t="s">
        <v>245</v>
      </c>
      <c r="C53" s="78"/>
      <c r="D53" s="83" t="s">
        <v>208</v>
      </c>
      <c r="E53" s="83">
        <v>1352244</v>
      </c>
      <c r="F53" s="80">
        <v>41017</v>
      </c>
      <c r="G53" s="80">
        <v>41138</v>
      </c>
      <c r="H53" s="81">
        <f t="shared" si="0"/>
        <v>0.33127994524298426</v>
      </c>
      <c r="I53" s="84" t="s">
        <v>207</v>
      </c>
      <c r="J53" s="77" t="s">
        <v>232</v>
      </c>
      <c r="K53" s="77"/>
      <c r="L53" s="77" t="s">
        <v>34</v>
      </c>
      <c r="M53" s="77" t="s">
        <v>24</v>
      </c>
      <c r="N53" s="82" t="s">
        <v>206</v>
      </c>
      <c r="O53" s="91" t="s">
        <v>268</v>
      </c>
      <c r="P53" s="91" t="s">
        <v>267</v>
      </c>
      <c r="Q53" s="77" t="s">
        <v>32</v>
      </c>
      <c r="R53" s="82" t="s">
        <v>269</v>
      </c>
      <c r="S53" s="92"/>
      <c r="T53" s="77"/>
      <c r="U53" s="93"/>
      <c r="V53" s="9"/>
      <c r="W53" s="9"/>
      <c r="X53" s="9"/>
      <c r="Y53" s="9"/>
      <c r="Z53" s="9"/>
      <c r="AA53" s="9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</row>
    <row r="54" spans="1:39" ht="32" customHeight="1">
      <c r="B54" s="46" t="s">
        <v>246</v>
      </c>
      <c r="C54" s="55"/>
      <c r="D54" s="48" t="s">
        <v>210</v>
      </c>
      <c r="E54" s="48">
        <v>1280340</v>
      </c>
      <c r="F54" s="8">
        <v>37463</v>
      </c>
      <c r="G54" s="8">
        <v>40513</v>
      </c>
      <c r="H54" s="36">
        <f t="shared" si="0"/>
        <v>8.3504449007529082</v>
      </c>
      <c r="I54" s="41" t="s">
        <v>209</v>
      </c>
      <c r="J54" s="9" t="s">
        <v>233</v>
      </c>
      <c r="K54" s="9"/>
      <c r="L54" s="9" t="s">
        <v>34</v>
      </c>
      <c r="M54" s="9" t="s">
        <v>24</v>
      </c>
      <c r="N54" s="50" t="s">
        <v>206</v>
      </c>
      <c r="O54" s="37" t="s">
        <v>262</v>
      </c>
      <c r="P54" s="37" t="s">
        <v>298</v>
      </c>
      <c r="Q54" s="9" t="s">
        <v>32</v>
      </c>
      <c r="R54" s="13" t="s">
        <v>284</v>
      </c>
      <c r="S54" s="38"/>
      <c r="T54" s="9"/>
      <c r="U54" s="39"/>
      <c r="V54" s="9"/>
      <c r="W54" s="9"/>
      <c r="X54" s="9"/>
      <c r="Y54" s="9"/>
      <c r="Z54" s="9"/>
      <c r="AA54" s="9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</row>
    <row r="55" spans="1:39" ht="32" customHeight="1">
      <c r="B55" s="46" t="s">
        <v>247</v>
      </c>
      <c r="C55" s="55"/>
      <c r="D55" s="56" t="s">
        <v>212</v>
      </c>
      <c r="E55" s="56">
        <v>1137851</v>
      </c>
      <c r="F55" s="58">
        <v>39250</v>
      </c>
      <c r="G55" s="59">
        <v>40619</v>
      </c>
      <c r="H55" s="36">
        <f t="shared" si="0"/>
        <v>3.7481177275838466</v>
      </c>
      <c r="I55" s="57" t="s">
        <v>211</v>
      </c>
      <c r="J55" s="9" t="s">
        <v>234</v>
      </c>
      <c r="K55" s="9"/>
      <c r="L55" s="9" t="s">
        <v>34</v>
      </c>
      <c r="M55" s="9" t="s">
        <v>24</v>
      </c>
      <c r="N55" s="50" t="s">
        <v>206</v>
      </c>
      <c r="O55" s="37" t="s">
        <v>263</v>
      </c>
      <c r="P55" s="37" t="s">
        <v>299</v>
      </c>
      <c r="Q55" s="9" t="s">
        <v>32</v>
      </c>
      <c r="R55" s="13" t="s">
        <v>285</v>
      </c>
      <c r="S55" s="38"/>
      <c r="T55" s="9"/>
      <c r="U55" s="39"/>
      <c r="V55" s="9"/>
      <c r="W55" s="9"/>
      <c r="X55" s="9"/>
      <c r="Y55" s="9"/>
      <c r="Z55" s="9"/>
      <c r="AA55" s="9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</row>
    <row r="56" spans="1:39" ht="32" customHeight="1">
      <c r="A56" s="34" t="s">
        <v>705</v>
      </c>
      <c r="B56" s="94" t="s">
        <v>248</v>
      </c>
      <c r="C56" s="95" t="s">
        <v>552</v>
      </c>
      <c r="D56" s="109" t="s">
        <v>214</v>
      </c>
      <c r="E56" s="109">
        <v>977752</v>
      </c>
      <c r="F56" s="97">
        <v>37847</v>
      </c>
      <c r="G56" s="97">
        <v>38539</v>
      </c>
      <c r="H56" s="98">
        <f t="shared" si="0"/>
        <v>1.8945927446954141</v>
      </c>
      <c r="I56" s="110" t="s">
        <v>213</v>
      </c>
      <c r="J56" s="94" t="s">
        <v>235</v>
      </c>
      <c r="K56" s="94"/>
      <c r="L56" s="94" t="s">
        <v>34</v>
      </c>
      <c r="M56" s="94" t="s">
        <v>28</v>
      </c>
      <c r="N56" s="99" t="s">
        <v>206</v>
      </c>
      <c r="O56" s="100" t="s">
        <v>271</v>
      </c>
      <c r="P56" s="100" t="s">
        <v>272</v>
      </c>
      <c r="Q56" s="94" t="s">
        <v>32</v>
      </c>
      <c r="R56" s="99" t="s">
        <v>273</v>
      </c>
      <c r="S56" s="101">
        <v>1</v>
      </c>
      <c r="T56" s="94" t="s">
        <v>224</v>
      </c>
      <c r="U56" s="102">
        <v>0</v>
      </c>
      <c r="V56" s="9">
        <v>180</v>
      </c>
      <c r="W56" s="9"/>
      <c r="X56" s="9" t="s">
        <v>705</v>
      </c>
      <c r="Y56" s="9"/>
      <c r="Z56" s="9" t="s">
        <v>705</v>
      </c>
      <c r="AA56" s="9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</row>
    <row r="57" spans="1:39" ht="32" customHeight="1">
      <c r="A57" s="34" t="s">
        <v>705</v>
      </c>
      <c r="B57" s="94" t="s">
        <v>249</v>
      </c>
      <c r="C57" s="95" t="s">
        <v>582</v>
      </c>
      <c r="D57" s="94" t="s">
        <v>217</v>
      </c>
      <c r="E57" s="94">
        <v>797952</v>
      </c>
      <c r="F57" s="97">
        <v>36012</v>
      </c>
      <c r="G57" s="97">
        <v>42319</v>
      </c>
      <c r="H57" s="98">
        <f t="shared" si="0"/>
        <v>17.267624914442163</v>
      </c>
      <c r="I57" s="99" t="s">
        <v>216</v>
      </c>
      <c r="J57" s="94" t="s">
        <v>236</v>
      </c>
      <c r="K57" s="94"/>
      <c r="L57" s="94" t="s">
        <v>34</v>
      </c>
      <c r="M57" s="94" t="s">
        <v>24</v>
      </c>
      <c r="N57" s="99" t="s">
        <v>206</v>
      </c>
      <c r="O57" s="100" t="s">
        <v>393</v>
      </c>
      <c r="P57" s="99" t="s">
        <v>300</v>
      </c>
      <c r="Q57" s="94" t="s">
        <v>32</v>
      </c>
      <c r="R57" s="99" t="s">
        <v>287</v>
      </c>
      <c r="S57" s="101">
        <v>1</v>
      </c>
      <c r="T57" s="94" t="s">
        <v>674</v>
      </c>
      <c r="U57" s="102">
        <v>45</v>
      </c>
      <c r="V57" s="9" t="s">
        <v>705</v>
      </c>
      <c r="W57" s="9"/>
      <c r="X57" s="9" t="s">
        <v>705</v>
      </c>
      <c r="Y57" s="9"/>
      <c r="Z57" s="9" t="s">
        <v>705</v>
      </c>
      <c r="AA57" s="9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</row>
    <row r="58" spans="1:39" ht="32" customHeight="1">
      <c r="A58" s="34" t="s">
        <v>705</v>
      </c>
      <c r="B58" s="94" t="s">
        <v>250</v>
      </c>
      <c r="C58" s="95" t="s">
        <v>560</v>
      </c>
      <c r="D58" s="94" t="s">
        <v>220</v>
      </c>
      <c r="E58" s="109">
        <v>1130200</v>
      </c>
      <c r="F58" s="97">
        <v>38647</v>
      </c>
      <c r="G58" s="97">
        <v>41117</v>
      </c>
      <c r="H58" s="98">
        <f t="shared" si="0"/>
        <v>6.7624914442162902</v>
      </c>
      <c r="I58" s="110" t="s">
        <v>219</v>
      </c>
      <c r="J58" s="94" t="s">
        <v>237</v>
      </c>
      <c r="K58" s="94"/>
      <c r="L58" s="94" t="s">
        <v>34</v>
      </c>
      <c r="M58" s="94" t="s">
        <v>24</v>
      </c>
      <c r="N58" s="99" t="s">
        <v>206</v>
      </c>
      <c r="O58" s="100" t="s">
        <v>266</v>
      </c>
      <c r="P58" s="99" t="s">
        <v>301</v>
      </c>
      <c r="Q58" s="94" t="s">
        <v>32</v>
      </c>
      <c r="R58" s="99" t="s">
        <v>288</v>
      </c>
      <c r="S58" s="101">
        <v>1</v>
      </c>
      <c r="T58" s="94" t="s">
        <v>655</v>
      </c>
      <c r="U58" s="102">
        <v>70</v>
      </c>
      <c r="V58" s="9">
        <v>180</v>
      </c>
      <c r="W58" s="9"/>
      <c r="X58" s="9">
        <v>180</v>
      </c>
      <c r="Y58" s="9"/>
      <c r="Z58" s="9">
        <v>180</v>
      </c>
      <c r="AA58" s="9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</row>
    <row r="59" spans="1:39" ht="32" customHeight="1">
      <c r="A59" s="34" t="s">
        <v>705</v>
      </c>
      <c r="B59" s="94" t="s">
        <v>258</v>
      </c>
      <c r="C59" s="95" t="s">
        <v>555</v>
      </c>
      <c r="D59" s="94" t="s">
        <v>223</v>
      </c>
      <c r="E59" s="94">
        <v>1109809</v>
      </c>
      <c r="F59" s="97">
        <v>37730</v>
      </c>
      <c r="G59" s="97">
        <v>40739</v>
      </c>
      <c r="H59" s="98">
        <f t="shared" si="0"/>
        <v>8.2381930184804926</v>
      </c>
      <c r="I59" s="99" t="s">
        <v>222</v>
      </c>
      <c r="J59" s="94" t="s">
        <v>238</v>
      </c>
      <c r="K59" s="94"/>
      <c r="L59" s="94" t="s">
        <v>34</v>
      </c>
      <c r="M59" s="94" t="s">
        <v>24</v>
      </c>
      <c r="N59" s="99" t="s">
        <v>206</v>
      </c>
      <c r="O59" s="100" t="s">
        <v>264</v>
      </c>
      <c r="P59" s="99" t="s">
        <v>394</v>
      </c>
      <c r="Q59" s="94" t="s">
        <v>32</v>
      </c>
      <c r="R59" s="99" t="s">
        <v>283</v>
      </c>
      <c r="S59" s="101">
        <v>1</v>
      </c>
      <c r="T59" s="94" t="s">
        <v>641</v>
      </c>
      <c r="U59" s="102">
        <v>0</v>
      </c>
      <c r="V59" s="9">
        <v>180</v>
      </c>
      <c r="W59" s="9"/>
      <c r="X59" s="9">
        <v>180</v>
      </c>
      <c r="Y59" s="9"/>
      <c r="Z59" s="9">
        <v>160</v>
      </c>
      <c r="AA59" s="9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</row>
    <row r="60" spans="1:39" ht="32" customHeight="1">
      <c r="B60" s="77" t="s">
        <v>259</v>
      </c>
      <c r="C60" s="78" t="s">
        <v>547</v>
      </c>
      <c r="D60" s="77" t="s">
        <v>292</v>
      </c>
      <c r="E60" s="83">
        <v>1071246</v>
      </c>
      <c r="F60" s="80">
        <v>38385</v>
      </c>
      <c r="G60" s="80">
        <v>38750</v>
      </c>
      <c r="H60" s="81">
        <f t="shared" si="0"/>
        <v>0.99931553730321698</v>
      </c>
      <c r="I60" s="84" t="s">
        <v>251</v>
      </c>
      <c r="J60" s="77" t="s">
        <v>252</v>
      </c>
      <c r="K60" s="77"/>
      <c r="L60" s="77" t="s">
        <v>34</v>
      </c>
      <c r="M60" s="77" t="s">
        <v>24</v>
      </c>
      <c r="N60" s="82" t="s">
        <v>206</v>
      </c>
      <c r="O60" s="91" t="s">
        <v>290</v>
      </c>
      <c r="P60" s="82" t="s">
        <v>291</v>
      </c>
      <c r="Q60" s="77" t="s">
        <v>32</v>
      </c>
      <c r="R60" s="82" t="s">
        <v>289</v>
      </c>
      <c r="S60" s="92"/>
      <c r="T60" s="77"/>
      <c r="U60" s="93"/>
      <c r="V60" s="9"/>
      <c r="W60" s="9"/>
      <c r="X60" s="9"/>
      <c r="Y60" s="9"/>
      <c r="Z60" s="9"/>
      <c r="AA60" s="9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</row>
    <row r="61" spans="1:39" ht="32" customHeight="1" thickBot="1">
      <c r="A61" s="34" t="s">
        <v>705</v>
      </c>
      <c r="B61" s="112" t="s">
        <v>260</v>
      </c>
      <c r="C61" s="113" t="s">
        <v>534</v>
      </c>
      <c r="D61" s="112" t="s">
        <v>293</v>
      </c>
      <c r="E61" s="114">
        <v>977927</v>
      </c>
      <c r="F61" s="115">
        <v>37944</v>
      </c>
      <c r="G61" s="115">
        <v>38078</v>
      </c>
      <c r="H61" s="116">
        <f t="shared" si="0"/>
        <v>0.36687200547570159</v>
      </c>
      <c r="I61" s="117" t="s">
        <v>253</v>
      </c>
      <c r="J61" s="112" t="s">
        <v>254</v>
      </c>
      <c r="K61" s="112"/>
      <c r="L61" s="112" t="s">
        <v>34</v>
      </c>
      <c r="M61" s="112" t="s">
        <v>24</v>
      </c>
      <c r="N61" s="118" t="s">
        <v>206</v>
      </c>
      <c r="O61" s="119" t="s">
        <v>294</v>
      </c>
      <c r="P61" s="118" t="s">
        <v>291</v>
      </c>
      <c r="Q61" s="112" t="s">
        <v>32</v>
      </c>
      <c r="R61" s="118" t="s">
        <v>284</v>
      </c>
      <c r="S61" s="120">
        <v>1</v>
      </c>
      <c r="T61" s="112" t="s">
        <v>221</v>
      </c>
      <c r="U61" s="121">
        <v>0</v>
      </c>
      <c r="V61" s="10">
        <v>90</v>
      </c>
      <c r="W61" s="10"/>
      <c r="X61" s="10" t="s">
        <v>705</v>
      </c>
      <c r="Y61" s="10"/>
      <c r="Z61" s="10" t="s">
        <v>705</v>
      </c>
      <c r="AA61" s="10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</row>
    <row r="62" spans="1:39" ht="32" customHeight="1" thickBot="1">
      <c r="A62" s="34" t="s">
        <v>705</v>
      </c>
      <c r="B62" s="186" t="s">
        <v>225</v>
      </c>
      <c r="C62" s="187"/>
      <c r="D62" s="187"/>
      <c r="E62" s="187"/>
      <c r="F62" s="43"/>
      <c r="G62" s="43"/>
      <c r="H62" s="44"/>
      <c r="I62" s="45"/>
      <c r="J62" s="27"/>
      <c r="K62" s="27"/>
      <c r="L62" s="27"/>
      <c r="M62" s="27"/>
      <c r="N62" s="28"/>
      <c r="O62" s="29"/>
      <c r="P62" s="28"/>
      <c r="Q62" s="27"/>
      <c r="R62" s="28"/>
      <c r="S62" s="27"/>
      <c r="T62" s="27"/>
      <c r="U62" s="27"/>
      <c r="V62" s="27">
        <v>1</v>
      </c>
      <c r="W62" s="27" t="s">
        <v>740</v>
      </c>
      <c r="X62" s="27">
        <v>2</v>
      </c>
      <c r="Y62" s="27" t="s">
        <v>741</v>
      </c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32"/>
    </row>
    <row r="63" spans="1:39" ht="32" customHeight="1">
      <c r="A63" s="34" t="s">
        <v>705</v>
      </c>
      <c r="B63" s="122" t="s">
        <v>597</v>
      </c>
      <c r="C63" s="123" t="s">
        <v>579</v>
      </c>
      <c r="D63" s="122" t="s">
        <v>227</v>
      </c>
      <c r="E63" s="122">
        <v>1063246</v>
      </c>
      <c r="F63" s="124">
        <v>38531</v>
      </c>
      <c r="G63" s="124">
        <v>40647</v>
      </c>
      <c r="H63" s="125">
        <f t="shared" si="0"/>
        <v>5.7932922655715267</v>
      </c>
      <c r="I63" s="126" t="s">
        <v>226</v>
      </c>
      <c r="J63" s="122" t="s">
        <v>239</v>
      </c>
      <c r="K63" s="122"/>
      <c r="L63" s="122" t="s">
        <v>34</v>
      </c>
      <c r="M63" s="122" t="s">
        <v>24</v>
      </c>
      <c r="N63" s="126" t="s">
        <v>395</v>
      </c>
      <c r="O63" s="127" t="s">
        <v>265</v>
      </c>
      <c r="P63" s="126" t="s">
        <v>281</v>
      </c>
      <c r="Q63" s="122" t="s">
        <v>32</v>
      </c>
      <c r="R63" s="126" t="s">
        <v>283</v>
      </c>
      <c r="S63" s="128">
        <v>1</v>
      </c>
      <c r="T63" s="122" t="s">
        <v>671</v>
      </c>
      <c r="U63" s="129">
        <v>20</v>
      </c>
      <c r="V63" s="60" t="s">
        <v>705</v>
      </c>
      <c r="W63" s="60"/>
      <c r="X63" s="60" t="s">
        <v>705</v>
      </c>
      <c r="Y63" s="60"/>
      <c r="Z63" s="60"/>
      <c r="AA63" s="6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</row>
    <row r="64" spans="1:39" ht="32" customHeight="1">
      <c r="A64" s="34" t="s">
        <v>705</v>
      </c>
      <c r="B64" s="94" t="s">
        <v>596</v>
      </c>
      <c r="C64" s="95" t="s">
        <v>535</v>
      </c>
      <c r="D64" s="105" t="s">
        <v>230</v>
      </c>
      <c r="E64" s="94">
        <v>1048331</v>
      </c>
      <c r="F64" s="97">
        <v>38370</v>
      </c>
      <c r="G64" s="97">
        <v>38831</v>
      </c>
      <c r="H64" s="98">
        <f t="shared" si="0"/>
        <v>1.2621492128678986</v>
      </c>
      <c r="I64" s="99" t="s">
        <v>229</v>
      </c>
      <c r="J64" s="94" t="s">
        <v>240</v>
      </c>
      <c r="K64" s="94"/>
      <c r="L64" s="94" t="s">
        <v>34</v>
      </c>
      <c r="M64" s="94" t="s">
        <v>24</v>
      </c>
      <c r="N64" s="99" t="s">
        <v>395</v>
      </c>
      <c r="O64" s="99" t="s">
        <v>280</v>
      </c>
      <c r="P64" s="99" t="s">
        <v>274</v>
      </c>
      <c r="Q64" s="94" t="s">
        <v>47</v>
      </c>
      <c r="R64" s="99" t="s">
        <v>47</v>
      </c>
      <c r="S64" s="101">
        <v>1</v>
      </c>
      <c r="T64" s="94" t="s">
        <v>635</v>
      </c>
      <c r="U64" s="102">
        <v>0</v>
      </c>
      <c r="V64" s="9">
        <v>120</v>
      </c>
      <c r="W64" s="9"/>
      <c r="X64" s="9" t="s">
        <v>705</v>
      </c>
      <c r="Y64" s="9"/>
      <c r="Z64" s="9"/>
      <c r="AA64" s="9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</row>
    <row r="65" spans="1:39" ht="32" customHeight="1" thickBot="1">
      <c r="A65" s="34" t="s">
        <v>705</v>
      </c>
      <c r="B65" s="94" t="s">
        <v>450</v>
      </c>
      <c r="C65" s="95" t="s">
        <v>561</v>
      </c>
      <c r="D65" s="105" t="s">
        <v>276</v>
      </c>
      <c r="E65" s="94">
        <v>1128014</v>
      </c>
      <c r="F65" s="97">
        <v>37969</v>
      </c>
      <c r="G65" s="97">
        <v>40721</v>
      </c>
      <c r="H65" s="98">
        <f t="shared" si="0"/>
        <v>7.5345653661875431</v>
      </c>
      <c r="I65" s="99" t="s">
        <v>279</v>
      </c>
      <c r="J65" s="94" t="s">
        <v>278</v>
      </c>
      <c r="K65" s="94"/>
      <c r="L65" s="94" t="s">
        <v>34</v>
      </c>
      <c r="M65" s="94" t="s">
        <v>28</v>
      </c>
      <c r="N65" s="99" t="s">
        <v>68</v>
      </c>
      <c r="O65" s="99" t="s">
        <v>275</v>
      </c>
      <c r="P65" s="99" t="s">
        <v>282</v>
      </c>
      <c r="Q65" s="94" t="s">
        <v>32</v>
      </c>
      <c r="R65" s="99" t="s">
        <v>47</v>
      </c>
      <c r="S65" s="101">
        <v>1</v>
      </c>
      <c r="T65" s="94" t="s">
        <v>656</v>
      </c>
      <c r="U65" s="102">
        <v>100</v>
      </c>
      <c r="V65" s="9">
        <v>180</v>
      </c>
      <c r="W65" s="9"/>
      <c r="X65" s="9">
        <v>180</v>
      </c>
      <c r="Y65" s="9"/>
      <c r="Z65" s="9"/>
      <c r="AA65" s="9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</row>
    <row r="66" spans="1:39" ht="32" customHeight="1" thickBot="1">
      <c r="A66" s="34" t="s">
        <v>705</v>
      </c>
      <c r="B66" s="186" t="s">
        <v>303</v>
      </c>
      <c r="C66" s="187"/>
      <c r="D66" s="187"/>
      <c r="E66" s="187"/>
      <c r="F66" s="43"/>
      <c r="G66" s="43"/>
      <c r="H66" s="44"/>
      <c r="I66" s="45"/>
      <c r="J66" s="27"/>
      <c r="K66" s="27"/>
      <c r="L66" s="27"/>
      <c r="M66" s="27"/>
      <c r="N66" s="28"/>
      <c r="O66" s="29"/>
      <c r="P66" s="28"/>
      <c r="Q66" s="27"/>
      <c r="R66" s="28"/>
      <c r="S66" s="27"/>
      <c r="T66" s="27"/>
      <c r="U66" s="27"/>
      <c r="V66" s="27"/>
      <c r="W66" s="27"/>
      <c r="X66" s="27">
        <v>1</v>
      </c>
      <c r="Y66" s="27" t="s">
        <v>741</v>
      </c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32"/>
    </row>
    <row r="67" spans="1:39" ht="32" customHeight="1" thickBot="1">
      <c r="A67" s="34" t="s">
        <v>705</v>
      </c>
      <c r="B67" s="94" t="s">
        <v>598</v>
      </c>
      <c r="C67" s="95" t="s">
        <v>585</v>
      </c>
      <c r="D67" s="94" t="s">
        <v>396</v>
      </c>
      <c r="E67" s="94">
        <v>1648551</v>
      </c>
      <c r="F67" s="97">
        <v>43216</v>
      </c>
      <c r="G67" s="97">
        <v>43360</v>
      </c>
      <c r="H67" s="98">
        <f t="shared" si="0"/>
        <v>0.3942505133470226</v>
      </c>
      <c r="I67" s="99" t="s">
        <v>302</v>
      </c>
      <c r="J67" s="94" t="s">
        <v>397</v>
      </c>
      <c r="K67" s="94"/>
      <c r="L67" s="94" t="s">
        <v>33</v>
      </c>
      <c r="M67" s="94" t="s">
        <v>28</v>
      </c>
      <c r="N67" s="100" t="s">
        <v>399</v>
      </c>
      <c r="O67" s="100" t="s">
        <v>398</v>
      </c>
      <c r="P67" s="99" t="s">
        <v>400</v>
      </c>
      <c r="Q67" s="94" t="s">
        <v>47</v>
      </c>
      <c r="R67" s="99" t="s">
        <v>47</v>
      </c>
      <c r="S67" s="101">
        <v>1</v>
      </c>
      <c r="T67" s="94" t="s">
        <v>676</v>
      </c>
      <c r="U67" s="102">
        <v>270</v>
      </c>
      <c r="V67" s="9"/>
      <c r="W67" s="9"/>
      <c r="X67" s="9">
        <v>180</v>
      </c>
      <c r="Y67" s="9"/>
      <c r="Z67" s="9"/>
      <c r="AA67" s="9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</row>
    <row r="68" spans="1:39" ht="32" customHeight="1" thickBot="1">
      <c r="A68" s="34" t="s">
        <v>705</v>
      </c>
      <c r="B68" s="186" t="s">
        <v>306</v>
      </c>
      <c r="C68" s="187"/>
      <c r="D68" s="187"/>
      <c r="E68" s="187"/>
      <c r="F68" s="43"/>
      <c r="G68" s="43"/>
      <c r="H68" s="44"/>
      <c r="I68" s="45"/>
      <c r="J68" s="27"/>
      <c r="K68" s="27"/>
      <c r="L68" s="27"/>
      <c r="M68" s="27"/>
      <c r="N68" s="28"/>
      <c r="O68" s="29"/>
      <c r="P68" s="28"/>
      <c r="Q68" s="27"/>
      <c r="R68" s="28"/>
      <c r="S68" s="27"/>
      <c r="T68" s="27"/>
      <c r="U68" s="27"/>
      <c r="V68" s="27">
        <v>3</v>
      </c>
      <c r="W68" s="27"/>
      <c r="X68" s="27">
        <v>1</v>
      </c>
      <c r="Y68" s="27" t="s">
        <v>741</v>
      </c>
      <c r="Z68" s="27">
        <v>2</v>
      </c>
      <c r="AA68" s="27" t="s">
        <v>742</v>
      </c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32"/>
    </row>
    <row r="69" spans="1:39" ht="32" customHeight="1">
      <c r="A69" s="34" t="s">
        <v>705</v>
      </c>
      <c r="B69" s="94" t="s">
        <v>599</v>
      </c>
      <c r="C69" s="95" t="s">
        <v>727</v>
      </c>
      <c r="D69" s="130">
        <v>20530465</v>
      </c>
      <c r="E69" s="130" t="s">
        <v>726</v>
      </c>
      <c r="F69" s="97">
        <v>40087</v>
      </c>
      <c r="G69" s="97">
        <v>40961</v>
      </c>
      <c r="H69" s="98">
        <f>(G69-F69)/365.25</f>
        <v>2.3928815879534566</v>
      </c>
      <c r="I69" s="99" t="s">
        <v>346</v>
      </c>
      <c r="J69" s="94" t="s">
        <v>309</v>
      </c>
      <c r="K69" s="94"/>
      <c r="L69" s="94" t="s">
        <v>34</v>
      </c>
      <c r="M69" s="94" t="s">
        <v>24</v>
      </c>
      <c r="N69" s="131" t="s">
        <v>307</v>
      </c>
      <c r="O69" s="132" t="s">
        <v>321</v>
      </c>
      <c r="P69" s="99" t="s">
        <v>344</v>
      </c>
      <c r="Q69" s="94" t="s">
        <v>32</v>
      </c>
      <c r="R69" s="99" t="s">
        <v>345</v>
      </c>
      <c r="S69" s="101">
        <v>1</v>
      </c>
      <c r="T69" s="94" t="s">
        <v>732</v>
      </c>
      <c r="U69" s="102">
        <v>5</v>
      </c>
      <c r="V69" s="9" t="s">
        <v>705</v>
      </c>
      <c r="W69" s="9"/>
      <c r="X69" s="9" t="s">
        <v>705</v>
      </c>
      <c r="Y69" s="9"/>
      <c r="Z69" s="9" t="s">
        <v>705</v>
      </c>
      <c r="AA69" s="9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</row>
    <row r="70" spans="1:39" ht="32" customHeight="1">
      <c r="A70" s="34" t="s">
        <v>705</v>
      </c>
      <c r="B70" s="94" t="s">
        <v>600</v>
      </c>
      <c r="C70" s="95" t="s">
        <v>580</v>
      </c>
      <c r="D70" s="130" t="s">
        <v>401</v>
      </c>
      <c r="E70" s="130" t="s">
        <v>308</v>
      </c>
      <c r="F70" s="97">
        <v>37649</v>
      </c>
      <c r="G70" s="97">
        <v>40865</v>
      </c>
      <c r="H70" s="98">
        <f t="shared" ref="H70:H79" si="1">(G70-F70)/365.25</f>
        <v>8.8049281314168386</v>
      </c>
      <c r="I70" s="99" t="s">
        <v>347</v>
      </c>
      <c r="J70" s="94" t="s">
        <v>724</v>
      </c>
      <c r="K70" s="94"/>
      <c r="L70" s="94" t="s">
        <v>34</v>
      </c>
      <c r="M70" s="94" t="s">
        <v>24</v>
      </c>
      <c r="N70" s="131" t="s">
        <v>307</v>
      </c>
      <c r="O70" s="132" t="s">
        <v>323</v>
      </c>
      <c r="P70" s="99" t="s">
        <v>403</v>
      </c>
      <c r="Q70" s="94" t="s">
        <v>32</v>
      </c>
      <c r="R70" s="99" t="s">
        <v>402</v>
      </c>
      <c r="S70" s="101">
        <v>1</v>
      </c>
      <c r="T70" s="94" t="s">
        <v>672</v>
      </c>
      <c r="U70" s="102">
        <v>20</v>
      </c>
      <c r="V70" s="9" t="s">
        <v>705</v>
      </c>
      <c r="W70" s="9"/>
      <c r="X70" s="9">
        <v>180</v>
      </c>
      <c r="Y70" s="9"/>
      <c r="Z70" s="9">
        <v>130</v>
      </c>
      <c r="AA70" s="9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</row>
    <row r="71" spans="1:39" ht="32" customHeight="1">
      <c r="A71" s="34" t="s">
        <v>705</v>
      </c>
      <c r="B71" s="94" t="s">
        <v>601</v>
      </c>
      <c r="C71" s="95" t="s">
        <v>566</v>
      </c>
      <c r="D71" s="130" t="s">
        <v>405</v>
      </c>
      <c r="E71" s="130" t="s">
        <v>312</v>
      </c>
      <c r="F71" s="97">
        <v>39717</v>
      </c>
      <c r="G71" s="97">
        <v>40809</v>
      </c>
      <c r="H71" s="98">
        <f>(G71-F71)/365.25</f>
        <v>2.9897330595482545</v>
      </c>
      <c r="I71" s="99" t="s">
        <v>348</v>
      </c>
      <c r="J71" s="94" t="s">
        <v>332</v>
      </c>
      <c r="K71" s="94"/>
      <c r="L71" s="94" t="s">
        <v>34</v>
      </c>
      <c r="M71" s="133" t="s">
        <v>24</v>
      </c>
      <c r="N71" s="131" t="s">
        <v>307</v>
      </c>
      <c r="O71" s="132" t="s">
        <v>324</v>
      </c>
      <c r="P71" s="99" t="s">
        <v>404</v>
      </c>
      <c r="Q71" s="94" t="s">
        <v>47</v>
      </c>
      <c r="R71" s="99" t="s">
        <v>47</v>
      </c>
      <c r="S71" s="134">
        <v>1</v>
      </c>
      <c r="T71" s="133" t="s">
        <v>661</v>
      </c>
      <c r="U71" s="135">
        <v>300</v>
      </c>
      <c r="V71" s="62">
        <v>180</v>
      </c>
      <c r="W71" s="62"/>
      <c r="X71" s="62">
        <v>180</v>
      </c>
      <c r="Y71" s="62"/>
      <c r="Z71" s="62">
        <v>180</v>
      </c>
      <c r="AA71" s="62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</row>
    <row r="72" spans="1:39" ht="32" customHeight="1">
      <c r="B72" s="77" t="s">
        <v>602</v>
      </c>
      <c r="C72" s="78" t="s">
        <v>551</v>
      </c>
      <c r="D72" s="152" t="s">
        <v>406</v>
      </c>
      <c r="E72" s="152" t="s">
        <v>313</v>
      </c>
      <c r="F72" s="80">
        <v>39576</v>
      </c>
      <c r="G72" s="80">
        <v>40733</v>
      </c>
      <c r="H72" s="81">
        <f t="shared" si="1"/>
        <v>3.1676933607118412</v>
      </c>
      <c r="I72" s="82" t="s">
        <v>349</v>
      </c>
      <c r="J72" s="77" t="s">
        <v>333</v>
      </c>
      <c r="K72" s="77"/>
      <c r="L72" s="77" t="s">
        <v>34</v>
      </c>
      <c r="M72" s="153" t="s">
        <v>24</v>
      </c>
      <c r="N72" s="154" t="s">
        <v>307</v>
      </c>
      <c r="O72" s="155" t="s">
        <v>325</v>
      </c>
      <c r="P72" s="155" t="s">
        <v>366</v>
      </c>
      <c r="Q72" s="156" t="s">
        <v>32</v>
      </c>
      <c r="R72" s="155" t="s">
        <v>361</v>
      </c>
      <c r="S72" s="157"/>
      <c r="T72" s="153"/>
      <c r="U72" s="158"/>
      <c r="V72" s="62"/>
      <c r="W72" s="62"/>
      <c r="X72" s="62"/>
      <c r="Y72" s="62"/>
      <c r="Z72" s="62"/>
      <c r="AA72" s="62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</row>
    <row r="73" spans="1:39" ht="32" customHeight="1">
      <c r="A73" s="34" t="s">
        <v>705</v>
      </c>
      <c r="B73" s="94" t="s">
        <v>603</v>
      </c>
      <c r="C73" s="95" t="s">
        <v>573</v>
      </c>
      <c r="D73" s="130" t="s">
        <v>408</v>
      </c>
      <c r="E73" s="130" t="s">
        <v>314</v>
      </c>
      <c r="F73" s="97">
        <v>37599</v>
      </c>
      <c r="G73" s="97">
        <v>40746</v>
      </c>
      <c r="H73" s="98">
        <f t="shared" si="1"/>
        <v>8.6160164271047233</v>
      </c>
      <c r="I73" s="99" t="s">
        <v>350</v>
      </c>
      <c r="J73" s="94" t="s">
        <v>334</v>
      </c>
      <c r="K73" s="94"/>
      <c r="L73" s="94" t="s">
        <v>33</v>
      </c>
      <c r="M73" s="133" t="s">
        <v>24</v>
      </c>
      <c r="N73" s="131" t="s">
        <v>307</v>
      </c>
      <c r="O73" s="132" t="s">
        <v>315</v>
      </c>
      <c r="P73" s="99" t="s">
        <v>407</v>
      </c>
      <c r="Q73" s="136" t="s">
        <v>32</v>
      </c>
      <c r="R73" s="99" t="s">
        <v>409</v>
      </c>
      <c r="S73" s="134">
        <v>1</v>
      </c>
      <c r="T73" s="133" t="s">
        <v>666</v>
      </c>
      <c r="U73" s="135">
        <v>20</v>
      </c>
      <c r="V73" s="63" t="s">
        <v>705</v>
      </c>
      <c r="W73" s="63"/>
      <c r="X73" s="63">
        <v>180</v>
      </c>
      <c r="Y73" s="63"/>
      <c r="Z73" s="63">
        <v>100</v>
      </c>
      <c r="AA73" s="6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</row>
    <row r="74" spans="1:39" ht="32" customHeight="1">
      <c r="A74" s="34" t="s">
        <v>705</v>
      </c>
      <c r="B74" s="94" t="s">
        <v>604</v>
      </c>
      <c r="C74" s="95" t="s">
        <v>570</v>
      </c>
      <c r="D74" s="130" t="s">
        <v>410</v>
      </c>
      <c r="E74" s="130" t="s">
        <v>316</v>
      </c>
      <c r="F74" s="97">
        <v>35895</v>
      </c>
      <c r="G74" s="97">
        <v>38026</v>
      </c>
      <c r="H74" s="98">
        <f t="shared" si="1"/>
        <v>5.8343600273785077</v>
      </c>
      <c r="I74" s="99" t="s">
        <v>351</v>
      </c>
      <c r="J74" s="94" t="s">
        <v>335</v>
      </c>
      <c r="K74" s="94"/>
      <c r="L74" s="94" t="s">
        <v>34</v>
      </c>
      <c r="M74" s="133" t="s">
        <v>24</v>
      </c>
      <c r="N74" s="131" t="s">
        <v>307</v>
      </c>
      <c r="O74" s="137" t="s">
        <v>317</v>
      </c>
      <c r="P74" s="137" t="s">
        <v>367</v>
      </c>
      <c r="Q74" s="136" t="s">
        <v>32</v>
      </c>
      <c r="R74" s="137" t="s">
        <v>360</v>
      </c>
      <c r="S74" s="134">
        <v>1</v>
      </c>
      <c r="T74" s="133" t="s">
        <v>664</v>
      </c>
      <c r="U74" s="135">
        <v>20</v>
      </c>
      <c r="V74" s="62" t="s">
        <v>705</v>
      </c>
      <c r="W74" s="62"/>
      <c r="X74" s="62">
        <v>180</v>
      </c>
      <c r="Y74" s="62"/>
      <c r="Z74" s="62">
        <v>130</v>
      </c>
      <c r="AA74" s="62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</row>
    <row r="75" spans="1:39" ht="32" customHeight="1">
      <c r="A75" s="34" t="s">
        <v>705</v>
      </c>
      <c r="B75" s="94" t="s">
        <v>605</v>
      </c>
      <c r="C75" s="95" t="s">
        <v>556</v>
      </c>
      <c r="D75" s="130" t="s">
        <v>411</v>
      </c>
      <c r="E75" s="130" t="s">
        <v>318</v>
      </c>
      <c r="F75" s="97">
        <v>39254</v>
      </c>
      <c r="G75" s="97">
        <v>40753</v>
      </c>
      <c r="H75" s="98">
        <f t="shared" si="1"/>
        <v>4.1040383299110195</v>
      </c>
      <c r="I75" s="99" t="s">
        <v>352</v>
      </c>
      <c r="J75" s="94" t="s">
        <v>336</v>
      </c>
      <c r="K75" s="94"/>
      <c r="L75" s="94" t="s">
        <v>34</v>
      </c>
      <c r="M75" s="133" t="s">
        <v>28</v>
      </c>
      <c r="N75" s="131" t="s">
        <v>307</v>
      </c>
      <c r="O75" s="132" t="s">
        <v>326</v>
      </c>
      <c r="P75" s="99" t="s">
        <v>412</v>
      </c>
      <c r="Q75" s="94" t="s">
        <v>32</v>
      </c>
      <c r="R75" s="99" t="s">
        <v>413</v>
      </c>
      <c r="S75" s="134">
        <v>1</v>
      </c>
      <c r="T75" s="133" t="s">
        <v>651</v>
      </c>
      <c r="U75" s="135">
        <v>20</v>
      </c>
      <c r="V75" s="62" t="s">
        <v>705</v>
      </c>
      <c r="W75" s="62"/>
      <c r="X75" s="62">
        <v>180</v>
      </c>
      <c r="Y75" s="62"/>
      <c r="Z75" s="62">
        <v>110</v>
      </c>
      <c r="AA75" s="62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</row>
    <row r="76" spans="1:39" ht="32" customHeight="1">
      <c r="A76" s="34" t="s">
        <v>705</v>
      </c>
      <c r="B76" s="94" t="s">
        <v>606</v>
      </c>
      <c r="C76" s="95" t="s">
        <v>578</v>
      </c>
      <c r="D76" s="130" t="s">
        <v>414</v>
      </c>
      <c r="E76" s="130" t="s">
        <v>319</v>
      </c>
      <c r="F76" s="97">
        <v>38607</v>
      </c>
      <c r="G76" s="97">
        <v>40662</v>
      </c>
      <c r="H76" s="98">
        <f t="shared" si="1"/>
        <v>5.6262833675564679</v>
      </c>
      <c r="I76" s="99" t="s">
        <v>353</v>
      </c>
      <c r="J76" s="94" t="s">
        <v>337</v>
      </c>
      <c r="K76" s="94"/>
      <c r="L76" s="94" t="s">
        <v>34</v>
      </c>
      <c r="M76" s="133" t="s">
        <v>24</v>
      </c>
      <c r="N76" s="131" t="s">
        <v>307</v>
      </c>
      <c r="O76" s="132" t="s">
        <v>327</v>
      </c>
      <c r="P76" s="99" t="s">
        <v>415</v>
      </c>
      <c r="Q76" s="94" t="s">
        <v>32</v>
      </c>
      <c r="R76" s="99" t="s">
        <v>383</v>
      </c>
      <c r="S76" s="134">
        <v>1</v>
      </c>
      <c r="T76" s="133" t="s">
        <v>670</v>
      </c>
      <c r="U76" s="135">
        <v>80</v>
      </c>
      <c r="V76" s="62" t="s">
        <v>705</v>
      </c>
      <c r="W76" s="62"/>
      <c r="X76" s="62" t="s">
        <v>705</v>
      </c>
      <c r="Y76" s="62"/>
      <c r="Z76" s="62" t="s">
        <v>705</v>
      </c>
      <c r="AA76" s="62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</row>
    <row r="77" spans="1:39" ht="32" customHeight="1">
      <c r="A77" s="34" t="s">
        <v>705</v>
      </c>
      <c r="B77" s="94" t="s">
        <v>607</v>
      </c>
      <c r="C77" s="95" t="s">
        <v>557</v>
      </c>
      <c r="D77" s="130" t="s">
        <v>416</v>
      </c>
      <c r="E77" s="130" t="s">
        <v>320</v>
      </c>
      <c r="F77" s="97">
        <v>38468</v>
      </c>
      <c r="G77" s="97">
        <v>40774</v>
      </c>
      <c r="H77" s="98">
        <f t="shared" si="1"/>
        <v>6.3134839151266258</v>
      </c>
      <c r="I77" s="99" t="s">
        <v>354</v>
      </c>
      <c r="J77" s="94" t="s">
        <v>338</v>
      </c>
      <c r="K77" s="94"/>
      <c r="L77" s="94" t="s">
        <v>34</v>
      </c>
      <c r="M77" s="133" t="s">
        <v>24</v>
      </c>
      <c r="N77" s="131" t="s">
        <v>307</v>
      </c>
      <c r="O77" s="132" t="s">
        <v>328</v>
      </c>
      <c r="P77" s="99" t="s">
        <v>419</v>
      </c>
      <c r="Q77" s="94" t="s">
        <v>32</v>
      </c>
      <c r="R77" s="99" t="s">
        <v>50</v>
      </c>
      <c r="S77" s="134">
        <v>1</v>
      </c>
      <c r="T77" s="94" t="s">
        <v>652</v>
      </c>
      <c r="U77" s="135">
        <v>20</v>
      </c>
      <c r="V77" s="62" t="s">
        <v>705</v>
      </c>
      <c r="W77" s="62"/>
      <c r="X77" s="62">
        <v>180</v>
      </c>
      <c r="Y77" s="62"/>
      <c r="Z77" s="62">
        <v>140</v>
      </c>
      <c r="AA77" s="62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</row>
    <row r="78" spans="1:39" ht="32" customHeight="1">
      <c r="A78" s="34" t="s">
        <v>705</v>
      </c>
      <c r="B78" s="94" t="s">
        <v>608</v>
      </c>
      <c r="C78" s="95" t="s">
        <v>571</v>
      </c>
      <c r="D78" s="133" t="s">
        <v>418</v>
      </c>
      <c r="E78" s="133">
        <v>959254</v>
      </c>
      <c r="F78" s="97">
        <v>36999</v>
      </c>
      <c r="G78" s="97">
        <v>38499</v>
      </c>
      <c r="H78" s="98">
        <f t="shared" si="1"/>
        <v>4.1067761806981515</v>
      </c>
      <c r="I78" s="99" t="s">
        <v>355</v>
      </c>
      <c r="J78" s="94" t="s">
        <v>339</v>
      </c>
      <c r="K78" s="94"/>
      <c r="L78" s="94" t="s">
        <v>34</v>
      </c>
      <c r="M78" s="133" t="s">
        <v>24</v>
      </c>
      <c r="N78" s="131" t="s">
        <v>307</v>
      </c>
      <c r="O78" s="132" t="s">
        <v>679</v>
      </c>
      <c r="P78" s="99" t="s">
        <v>420</v>
      </c>
      <c r="Q78" s="94" t="s">
        <v>32</v>
      </c>
      <c r="R78" s="99" t="s">
        <v>50</v>
      </c>
      <c r="S78" s="134">
        <v>1</v>
      </c>
      <c r="T78" s="94" t="s">
        <v>218</v>
      </c>
      <c r="U78" s="135">
        <v>50</v>
      </c>
      <c r="V78" s="63" t="s">
        <v>705</v>
      </c>
      <c r="W78" s="63"/>
      <c r="X78" s="63" t="s">
        <v>705</v>
      </c>
      <c r="Y78" s="63"/>
      <c r="Z78" s="63" t="s">
        <v>705</v>
      </c>
      <c r="AA78" s="6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</row>
    <row r="79" spans="1:39" ht="32" customHeight="1">
      <c r="A79" s="34" t="s">
        <v>705</v>
      </c>
      <c r="B79" s="94" t="s">
        <v>609</v>
      </c>
      <c r="C79" s="107" t="s">
        <v>569</v>
      </c>
      <c r="D79" s="133" t="s">
        <v>421</v>
      </c>
      <c r="E79" s="133">
        <v>816850</v>
      </c>
      <c r="F79" s="97">
        <v>36171</v>
      </c>
      <c r="G79" s="97">
        <v>38070</v>
      </c>
      <c r="H79" s="98">
        <f t="shared" si="1"/>
        <v>5.1991786447638599</v>
      </c>
      <c r="I79" s="99" t="s">
        <v>356</v>
      </c>
      <c r="J79" s="94" t="s">
        <v>340</v>
      </c>
      <c r="K79" s="94"/>
      <c r="L79" s="94" t="s">
        <v>34</v>
      </c>
      <c r="M79" s="133" t="s">
        <v>24</v>
      </c>
      <c r="N79" s="131" t="s">
        <v>307</v>
      </c>
      <c r="O79" s="132" t="s">
        <v>329</v>
      </c>
      <c r="P79" s="99" t="s">
        <v>417</v>
      </c>
      <c r="Q79" s="94" t="s">
        <v>32</v>
      </c>
      <c r="R79" s="99" t="s">
        <v>50</v>
      </c>
      <c r="S79" s="134">
        <v>1</v>
      </c>
      <c r="T79" s="94" t="s">
        <v>277</v>
      </c>
      <c r="U79" s="135">
        <v>80</v>
      </c>
      <c r="V79" s="63" t="s">
        <v>705</v>
      </c>
      <c r="W79" s="63"/>
      <c r="X79" s="63">
        <v>180</v>
      </c>
      <c r="Y79" s="63"/>
      <c r="Z79" s="63">
        <v>180</v>
      </c>
      <c r="AA79" s="6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</row>
    <row r="80" spans="1:39" ht="32" customHeight="1">
      <c r="A80" s="34" t="s">
        <v>705</v>
      </c>
      <c r="B80" s="94" t="s">
        <v>610</v>
      </c>
      <c r="C80" s="95" t="s">
        <v>568</v>
      </c>
      <c r="D80" s="94" t="s">
        <v>385</v>
      </c>
      <c r="E80" s="133">
        <v>783933</v>
      </c>
      <c r="F80" s="97">
        <v>35739</v>
      </c>
      <c r="G80" s="97">
        <v>38026</v>
      </c>
      <c r="H80" s="98">
        <f>(G80-F80)/365.25</f>
        <v>6.2614647501711156</v>
      </c>
      <c r="I80" s="99" t="s">
        <v>357</v>
      </c>
      <c r="J80" s="94" t="s">
        <v>341</v>
      </c>
      <c r="K80" s="94"/>
      <c r="L80" s="94" t="s">
        <v>34</v>
      </c>
      <c r="M80" s="133" t="s">
        <v>24</v>
      </c>
      <c r="N80" s="131" t="s">
        <v>307</v>
      </c>
      <c r="O80" s="132" t="s">
        <v>330</v>
      </c>
      <c r="P80" s="99" t="s">
        <v>384</v>
      </c>
      <c r="Q80" s="94" t="s">
        <v>32</v>
      </c>
      <c r="R80" s="99" t="s">
        <v>47</v>
      </c>
      <c r="S80" s="134">
        <v>1</v>
      </c>
      <c r="T80" s="94" t="s">
        <v>663</v>
      </c>
      <c r="U80" s="135">
        <v>10</v>
      </c>
      <c r="V80" s="63" t="s">
        <v>705</v>
      </c>
      <c r="W80" s="63"/>
      <c r="X80" s="63" t="s">
        <v>705</v>
      </c>
      <c r="Y80" s="63"/>
      <c r="Z80" s="63" t="s">
        <v>705</v>
      </c>
      <c r="AA80" s="6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</row>
    <row r="81" spans="1:39" ht="32" customHeight="1">
      <c r="A81" s="34" t="s">
        <v>705</v>
      </c>
      <c r="B81" s="94" t="s">
        <v>611</v>
      </c>
      <c r="C81" s="95" t="s">
        <v>565</v>
      </c>
      <c r="D81" s="133" t="s">
        <v>422</v>
      </c>
      <c r="E81" s="133">
        <v>401777</v>
      </c>
      <c r="F81" s="97">
        <v>31112</v>
      </c>
      <c r="G81" s="97">
        <v>38080</v>
      </c>
      <c r="H81" s="98">
        <f t="shared" ref="H81:H113" si="2">(G81-F81)/365.25</f>
        <v>19.077344284736483</v>
      </c>
      <c r="I81" s="99" t="s">
        <v>358</v>
      </c>
      <c r="J81" s="94" t="s">
        <v>342</v>
      </c>
      <c r="K81" s="94"/>
      <c r="L81" s="94" t="s">
        <v>34</v>
      </c>
      <c r="M81" s="133" t="s">
        <v>24</v>
      </c>
      <c r="N81" s="131" t="s">
        <v>307</v>
      </c>
      <c r="O81" s="132" t="s">
        <v>331</v>
      </c>
      <c r="P81" s="99" t="s">
        <v>415</v>
      </c>
      <c r="Q81" s="94" t="s">
        <v>32</v>
      </c>
      <c r="R81" s="99" t="s">
        <v>423</v>
      </c>
      <c r="S81" s="134">
        <v>1</v>
      </c>
      <c r="T81" s="94" t="s">
        <v>660</v>
      </c>
      <c r="U81" s="135">
        <v>50</v>
      </c>
      <c r="V81" s="63" t="s">
        <v>705</v>
      </c>
      <c r="W81" s="63"/>
      <c r="X81" s="63" t="s">
        <v>705</v>
      </c>
      <c r="Y81" s="63"/>
      <c r="Z81" s="63" t="s">
        <v>705</v>
      </c>
      <c r="AA81" s="6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</row>
    <row r="82" spans="1:39" ht="32" customHeight="1">
      <c r="A82" s="34" t="s">
        <v>705</v>
      </c>
      <c r="B82" s="94" t="s">
        <v>612</v>
      </c>
      <c r="C82" s="95" t="s">
        <v>572</v>
      </c>
      <c r="D82" s="133" t="s">
        <v>424</v>
      </c>
      <c r="E82" s="133">
        <v>627931</v>
      </c>
      <c r="F82" s="97">
        <v>32149</v>
      </c>
      <c r="G82" s="97">
        <v>38026</v>
      </c>
      <c r="H82" s="98">
        <f t="shared" si="2"/>
        <v>16.090349075975361</v>
      </c>
      <c r="I82" s="99" t="s">
        <v>359</v>
      </c>
      <c r="J82" s="94" t="s">
        <v>343</v>
      </c>
      <c r="K82" s="94"/>
      <c r="L82" s="94" t="s">
        <v>34</v>
      </c>
      <c r="M82" s="133" t="s">
        <v>24</v>
      </c>
      <c r="N82" s="131" t="s">
        <v>307</v>
      </c>
      <c r="O82" s="132" t="s">
        <v>331</v>
      </c>
      <c r="P82" s="137" t="s">
        <v>133</v>
      </c>
      <c r="Q82" s="136" t="s">
        <v>32</v>
      </c>
      <c r="R82" s="137" t="s">
        <v>283</v>
      </c>
      <c r="S82" s="134">
        <v>1</v>
      </c>
      <c r="T82" s="94" t="s">
        <v>665</v>
      </c>
      <c r="U82" s="135">
        <v>80</v>
      </c>
      <c r="V82" s="63" t="s">
        <v>705</v>
      </c>
      <c r="W82" s="63"/>
      <c r="X82" s="63">
        <v>180</v>
      </c>
      <c r="Y82" s="63"/>
      <c r="Z82" s="63" t="s">
        <v>705</v>
      </c>
      <c r="AA82" s="6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</row>
    <row r="83" spans="1:39" ht="32" customHeight="1">
      <c r="A83" s="34" t="s">
        <v>705</v>
      </c>
      <c r="B83" s="94" t="s">
        <v>613</v>
      </c>
      <c r="C83" s="95" t="s">
        <v>574</v>
      </c>
      <c r="D83" s="138" t="s">
        <v>371</v>
      </c>
      <c r="E83" s="138">
        <v>1052675</v>
      </c>
      <c r="F83" s="97">
        <v>38592</v>
      </c>
      <c r="G83" s="97">
        <v>40851</v>
      </c>
      <c r="H83" s="98">
        <f t="shared" si="2"/>
        <v>6.1848049281314168</v>
      </c>
      <c r="I83" s="139" t="s">
        <v>362</v>
      </c>
      <c r="J83" s="94" t="s">
        <v>310</v>
      </c>
      <c r="K83" s="94"/>
      <c r="L83" s="94" t="s">
        <v>34</v>
      </c>
      <c r="M83" s="133" t="s">
        <v>24</v>
      </c>
      <c r="N83" s="131" t="s">
        <v>307</v>
      </c>
      <c r="O83" s="137" t="s">
        <v>322</v>
      </c>
      <c r="P83" s="99" t="s">
        <v>370</v>
      </c>
      <c r="Q83" s="94" t="s">
        <v>32</v>
      </c>
      <c r="R83" s="99" t="s">
        <v>368</v>
      </c>
      <c r="S83" s="101">
        <v>1</v>
      </c>
      <c r="T83" s="94" t="s">
        <v>667</v>
      </c>
      <c r="U83" s="102">
        <v>10</v>
      </c>
      <c r="V83" s="9" t="s">
        <v>705</v>
      </c>
      <c r="W83" s="9"/>
      <c r="X83" s="9" t="s">
        <v>705</v>
      </c>
      <c r="Y83" s="9"/>
      <c r="Z83" s="9" t="s">
        <v>705</v>
      </c>
      <c r="AA83" s="9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</row>
    <row r="84" spans="1:39" ht="32" customHeight="1">
      <c r="A84" s="34" t="s">
        <v>705</v>
      </c>
      <c r="B84" s="94" t="s">
        <v>614</v>
      </c>
      <c r="C84" s="95" t="s">
        <v>575</v>
      </c>
      <c r="D84" s="138" t="s">
        <v>372</v>
      </c>
      <c r="E84" s="138">
        <v>889874</v>
      </c>
      <c r="F84" s="97">
        <v>36664</v>
      </c>
      <c r="G84" s="97">
        <v>40840</v>
      </c>
      <c r="H84" s="98">
        <f t="shared" si="2"/>
        <v>11.433264887063656</v>
      </c>
      <c r="I84" s="139" t="s">
        <v>363</v>
      </c>
      <c r="J84" s="94" t="s">
        <v>364</v>
      </c>
      <c r="K84" s="94"/>
      <c r="L84" s="94" t="s">
        <v>34</v>
      </c>
      <c r="M84" s="133" t="s">
        <v>24</v>
      </c>
      <c r="N84" s="131" t="s">
        <v>307</v>
      </c>
      <c r="O84" s="100" t="s">
        <v>365</v>
      </c>
      <c r="P84" s="99" t="s">
        <v>382</v>
      </c>
      <c r="Q84" s="94" t="s">
        <v>32</v>
      </c>
      <c r="R84" s="99" t="s">
        <v>285</v>
      </c>
      <c r="S84" s="101">
        <v>1</v>
      </c>
      <c r="T84" s="94" t="s">
        <v>668</v>
      </c>
      <c r="U84" s="102">
        <v>20</v>
      </c>
      <c r="V84" s="9">
        <v>110</v>
      </c>
      <c r="W84" s="9"/>
      <c r="X84" s="9">
        <v>180</v>
      </c>
      <c r="Y84" s="9"/>
      <c r="Z84" s="9">
        <v>180</v>
      </c>
      <c r="AA84" s="9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</row>
    <row r="85" spans="1:39" ht="32" customHeight="1">
      <c r="A85" s="34" t="s">
        <v>705</v>
      </c>
      <c r="B85" s="94" t="s">
        <v>615</v>
      </c>
      <c r="C85" s="95" t="s">
        <v>553</v>
      </c>
      <c r="D85" s="94" t="s">
        <v>376</v>
      </c>
      <c r="E85" s="94">
        <v>967920</v>
      </c>
      <c r="F85" s="97">
        <v>37803</v>
      </c>
      <c r="G85" s="97">
        <v>38552</v>
      </c>
      <c r="H85" s="98">
        <f t="shared" si="2"/>
        <v>2.0506502395619437</v>
      </c>
      <c r="I85" s="99" t="s">
        <v>373</v>
      </c>
      <c r="J85" s="94" t="s">
        <v>379</v>
      </c>
      <c r="K85" s="94"/>
      <c r="L85" s="94" t="s">
        <v>34</v>
      </c>
      <c r="M85" s="133" t="s">
        <v>24</v>
      </c>
      <c r="N85" s="131" t="s">
        <v>307</v>
      </c>
      <c r="O85" s="100" t="s">
        <v>425</v>
      </c>
      <c r="P85" s="99" t="s">
        <v>369</v>
      </c>
      <c r="Q85" s="94" t="s">
        <v>32</v>
      </c>
      <c r="R85" s="99" t="s">
        <v>47</v>
      </c>
      <c r="S85" s="101">
        <v>1</v>
      </c>
      <c r="T85" s="94" t="s">
        <v>650</v>
      </c>
      <c r="U85" s="102">
        <v>50</v>
      </c>
      <c r="V85" s="9" t="s">
        <v>705</v>
      </c>
      <c r="W85" s="9"/>
      <c r="X85" s="9" t="s">
        <v>705</v>
      </c>
      <c r="Y85" s="9"/>
      <c r="Z85" s="9" t="s">
        <v>705</v>
      </c>
      <c r="AA85" s="9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</row>
    <row r="86" spans="1:39" ht="32" customHeight="1">
      <c r="A86" s="34" t="s">
        <v>705</v>
      </c>
      <c r="B86" s="94" t="s">
        <v>616</v>
      </c>
      <c r="C86" s="95" t="s">
        <v>537</v>
      </c>
      <c r="D86" s="94" t="s">
        <v>377</v>
      </c>
      <c r="E86" s="94">
        <v>1521768</v>
      </c>
      <c r="F86" s="97">
        <v>42065</v>
      </c>
      <c r="G86" s="97">
        <v>42830</v>
      </c>
      <c r="H86" s="98">
        <f t="shared" si="2"/>
        <v>2.0944558521560577</v>
      </c>
      <c r="I86" s="99" t="s">
        <v>374</v>
      </c>
      <c r="J86" s="94" t="s">
        <v>380</v>
      </c>
      <c r="K86" s="94"/>
      <c r="L86" s="94" t="s">
        <v>34</v>
      </c>
      <c r="M86" s="133" t="s">
        <v>24</v>
      </c>
      <c r="N86" s="131" t="s">
        <v>307</v>
      </c>
      <c r="O86" s="100" t="s">
        <v>426</v>
      </c>
      <c r="P86" s="99" t="s">
        <v>369</v>
      </c>
      <c r="Q86" s="94" t="s">
        <v>32</v>
      </c>
      <c r="R86" s="99" t="s">
        <v>383</v>
      </c>
      <c r="S86" s="101">
        <v>1</v>
      </c>
      <c r="T86" s="94" t="s">
        <v>215</v>
      </c>
      <c r="U86" s="102">
        <v>20</v>
      </c>
      <c r="V86" s="9">
        <v>140</v>
      </c>
      <c r="W86" s="9"/>
      <c r="X86" s="9">
        <v>180</v>
      </c>
      <c r="Y86" s="9"/>
      <c r="Z86" s="9">
        <v>180</v>
      </c>
      <c r="AA86" s="9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</row>
    <row r="87" spans="1:39" ht="32" customHeight="1">
      <c r="A87" s="34" t="s">
        <v>705</v>
      </c>
      <c r="B87" s="94" t="s">
        <v>617</v>
      </c>
      <c r="C87" s="95" t="s">
        <v>567</v>
      </c>
      <c r="D87" s="94" t="s">
        <v>378</v>
      </c>
      <c r="E87" s="94">
        <v>1175244</v>
      </c>
      <c r="F87" s="97">
        <v>39633</v>
      </c>
      <c r="G87" s="97">
        <v>40571</v>
      </c>
      <c r="H87" s="98">
        <f t="shared" si="2"/>
        <v>2.5681040383299112</v>
      </c>
      <c r="I87" s="99" t="s">
        <v>375</v>
      </c>
      <c r="J87" s="94" t="s">
        <v>381</v>
      </c>
      <c r="K87" s="94"/>
      <c r="L87" s="94" t="s">
        <v>34</v>
      </c>
      <c r="M87" s="133" t="s">
        <v>24</v>
      </c>
      <c r="N87" s="131" t="s">
        <v>307</v>
      </c>
      <c r="O87" s="100" t="s">
        <v>427</v>
      </c>
      <c r="P87" s="99" t="s">
        <v>369</v>
      </c>
      <c r="Q87" s="94" t="s">
        <v>32</v>
      </c>
      <c r="R87" s="99" t="s">
        <v>47</v>
      </c>
      <c r="S87" s="101">
        <v>1</v>
      </c>
      <c r="T87" s="94" t="s">
        <v>662</v>
      </c>
      <c r="U87" s="102">
        <v>90</v>
      </c>
      <c r="V87" s="9" t="s">
        <v>705</v>
      </c>
      <c r="W87" s="9"/>
      <c r="X87" s="9">
        <v>180</v>
      </c>
      <c r="Y87" s="9"/>
      <c r="Z87" s="9" t="s">
        <v>705</v>
      </c>
      <c r="AA87" s="9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</row>
    <row r="88" spans="1:39" ht="32" customHeight="1" thickBot="1">
      <c r="A88" s="34" t="s">
        <v>705</v>
      </c>
      <c r="B88" s="94" t="s">
        <v>618</v>
      </c>
      <c r="C88" s="95" t="s">
        <v>563</v>
      </c>
      <c r="D88" s="94" t="s">
        <v>438</v>
      </c>
      <c r="E88" s="94">
        <v>1524685</v>
      </c>
      <c r="F88" s="97">
        <v>41787</v>
      </c>
      <c r="G88" s="97">
        <v>43294</v>
      </c>
      <c r="H88" s="98">
        <f t="shared" si="2"/>
        <v>4.1259411362080769</v>
      </c>
      <c r="I88" s="99" t="s">
        <v>437</v>
      </c>
      <c r="J88" s="94" t="s">
        <v>27</v>
      </c>
      <c r="K88" s="94"/>
      <c r="L88" s="94" t="s">
        <v>34</v>
      </c>
      <c r="M88" s="133" t="s">
        <v>24</v>
      </c>
      <c r="N88" s="131" t="s">
        <v>307</v>
      </c>
      <c r="O88" s="100" t="s">
        <v>439</v>
      </c>
      <c r="P88" s="99" t="s">
        <v>369</v>
      </c>
      <c r="Q88" s="94" t="s">
        <v>47</v>
      </c>
      <c r="R88" s="99" t="s">
        <v>440</v>
      </c>
      <c r="S88" s="101">
        <v>1</v>
      </c>
      <c r="T88" s="94" t="s">
        <v>658</v>
      </c>
      <c r="U88" s="102">
        <v>100</v>
      </c>
      <c r="V88" s="9" t="s">
        <v>705</v>
      </c>
      <c r="W88" s="9"/>
      <c r="X88" s="9">
        <v>180</v>
      </c>
      <c r="Y88" s="9"/>
      <c r="Z88" s="9">
        <v>180</v>
      </c>
      <c r="AA88" s="9"/>
      <c r="AB88" s="42"/>
      <c r="AC88" s="42"/>
      <c r="AD88" s="42"/>
      <c r="AE88" s="42"/>
      <c r="AF88" s="42"/>
      <c r="AG88" s="42"/>
      <c r="AH88" s="42"/>
      <c r="AI88" s="42"/>
      <c r="AJ88" s="42"/>
      <c r="AK88" s="42"/>
      <c r="AL88" s="42"/>
      <c r="AM88" s="42"/>
    </row>
    <row r="89" spans="1:39" ht="32" customHeight="1" thickBot="1">
      <c r="B89" s="186" t="s">
        <v>387</v>
      </c>
      <c r="C89" s="187"/>
      <c r="D89" s="187"/>
      <c r="E89" s="187"/>
      <c r="F89" s="43"/>
      <c r="G89" s="43"/>
      <c r="H89" s="44"/>
      <c r="I89" s="45"/>
      <c r="J89" s="27"/>
      <c r="K89" s="27"/>
      <c r="L89" s="27"/>
      <c r="M89" s="27"/>
      <c r="N89" s="28"/>
      <c r="O89" s="29"/>
      <c r="P89" s="28"/>
      <c r="Q89" s="27"/>
      <c r="R89" s="28"/>
      <c r="S89" s="27"/>
      <c r="T89" s="27"/>
      <c r="U89" s="27"/>
      <c r="V89" s="27">
        <v>2</v>
      </c>
      <c r="W89" s="27" t="s">
        <v>740</v>
      </c>
      <c r="X89" s="27">
        <v>1</v>
      </c>
      <c r="Y89" s="27" t="s">
        <v>746</v>
      </c>
      <c r="Z89" s="27">
        <v>3</v>
      </c>
      <c r="AA89" s="27" t="s">
        <v>742</v>
      </c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32"/>
    </row>
    <row r="90" spans="1:39" ht="32" customHeight="1">
      <c r="A90" s="34" t="s">
        <v>705</v>
      </c>
      <c r="B90" s="94" t="s">
        <v>619</v>
      </c>
      <c r="C90" s="95"/>
      <c r="D90" s="140" t="s">
        <v>389</v>
      </c>
      <c r="E90" s="140">
        <v>1177099</v>
      </c>
      <c r="F90" s="141">
        <v>39447</v>
      </c>
      <c r="G90" s="97">
        <v>41817</v>
      </c>
      <c r="H90" s="98">
        <f t="shared" si="2"/>
        <v>6.4887063655030799</v>
      </c>
      <c r="I90" s="142" t="s">
        <v>388</v>
      </c>
      <c r="J90" s="94" t="s">
        <v>390</v>
      </c>
      <c r="K90" s="94"/>
      <c r="L90" s="94" t="s">
        <v>34</v>
      </c>
      <c r="M90" s="133" t="s">
        <v>28</v>
      </c>
      <c r="N90" s="131" t="s">
        <v>392</v>
      </c>
      <c r="O90" s="100" t="s">
        <v>428</v>
      </c>
      <c r="P90" s="99" t="s">
        <v>391</v>
      </c>
      <c r="Q90" s="94" t="s">
        <v>32</v>
      </c>
      <c r="R90" s="99" t="s">
        <v>43</v>
      </c>
      <c r="S90" s="101">
        <v>1</v>
      </c>
      <c r="T90" s="94" t="s">
        <v>716</v>
      </c>
      <c r="U90" s="102">
        <v>130</v>
      </c>
      <c r="V90" s="9">
        <v>180</v>
      </c>
      <c r="W90" s="9"/>
      <c r="X90" s="9">
        <v>180</v>
      </c>
      <c r="Y90" s="9"/>
      <c r="Z90" s="9">
        <v>180</v>
      </c>
      <c r="AA90" s="9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</row>
    <row r="91" spans="1:39" ht="32" customHeight="1">
      <c r="B91" s="46" t="s">
        <v>695</v>
      </c>
      <c r="C91" s="55"/>
      <c r="D91" s="64" t="s">
        <v>696</v>
      </c>
      <c r="E91" s="64">
        <v>1177099</v>
      </c>
      <c r="F91" s="65">
        <v>39447</v>
      </c>
      <c r="G91" s="8">
        <v>40091</v>
      </c>
      <c r="H91" s="36">
        <f t="shared" si="2"/>
        <v>1.7631759069130732</v>
      </c>
      <c r="I91" s="66" t="s">
        <v>388</v>
      </c>
      <c r="J91" s="46" t="s">
        <v>390</v>
      </c>
      <c r="K91" s="46"/>
      <c r="L91" s="9" t="s">
        <v>34</v>
      </c>
      <c r="M91" s="62" t="s">
        <v>28</v>
      </c>
      <c r="N91" s="61" t="s">
        <v>392</v>
      </c>
      <c r="O91" s="51" t="s">
        <v>428</v>
      </c>
      <c r="P91" s="13" t="s">
        <v>391</v>
      </c>
      <c r="Q91" s="9" t="s">
        <v>32</v>
      </c>
      <c r="R91" s="13" t="s">
        <v>43</v>
      </c>
      <c r="S91" s="38"/>
      <c r="T91" s="9"/>
      <c r="U91" s="39"/>
      <c r="V91" s="9"/>
      <c r="W91" s="9"/>
      <c r="X91" s="9"/>
      <c r="Y91" s="9"/>
      <c r="Z91" s="9"/>
      <c r="AA91" s="9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</row>
    <row r="92" spans="1:39" ht="32" customHeight="1">
      <c r="B92" s="74" t="s">
        <v>693</v>
      </c>
      <c r="C92" s="55"/>
      <c r="D92" s="73" t="s">
        <v>697</v>
      </c>
      <c r="E92" s="64">
        <v>1177099</v>
      </c>
      <c r="F92" s="65">
        <v>39447</v>
      </c>
      <c r="G92" s="8">
        <v>40591</v>
      </c>
      <c r="H92" s="36">
        <f t="shared" ref="H92" si="3">(G92-F92)/365.25</f>
        <v>3.1321013004791238</v>
      </c>
      <c r="I92" s="66" t="s">
        <v>388</v>
      </c>
      <c r="J92" s="46" t="s">
        <v>390</v>
      </c>
      <c r="K92" s="46"/>
      <c r="L92" s="9" t="s">
        <v>34</v>
      </c>
      <c r="M92" s="62" t="s">
        <v>28</v>
      </c>
      <c r="N92" s="61" t="s">
        <v>392</v>
      </c>
      <c r="O92" s="51" t="s">
        <v>428</v>
      </c>
      <c r="P92" s="13" t="s">
        <v>391</v>
      </c>
      <c r="Q92" s="9" t="s">
        <v>32</v>
      </c>
      <c r="R92" s="13" t="s">
        <v>43</v>
      </c>
      <c r="S92" s="38"/>
      <c r="T92" s="9"/>
      <c r="U92" s="39"/>
      <c r="V92" s="9"/>
      <c r="W92" s="9"/>
      <c r="X92" s="9"/>
      <c r="Y92" s="9"/>
      <c r="Z92" s="9"/>
      <c r="AA92" s="9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</row>
    <row r="93" spans="1:39" ht="32" customHeight="1">
      <c r="A93" s="34" t="s">
        <v>705</v>
      </c>
      <c r="B93" s="143" t="s">
        <v>698</v>
      </c>
      <c r="C93" s="95"/>
      <c r="D93" s="140" t="s">
        <v>694</v>
      </c>
      <c r="E93" s="140">
        <v>1177099</v>
      </c>
      <c r="F93" s="141">
        <v>39447</v>
      </c>
      <c r="G93" s="97">
        <v>43812</v>
      </c>
      <c r="H93" s="98">
        <f t="shared" si="2"/>
        <v>11.950718685831623</v>
      </c>
      <c r="I93" s="142" t="s">
        <v>388</v>
      </c>
      <c r="J93" s="94" t="s">
        <v>390</v>
      </c>
      <c r="K93" s="94"/>
      <c r="L93" s="94" t="s">
        <v>34</v>
      </c>
      <c r="M93" s="133" t="s">
        <v>28</v>
      </c>
      <c r="N93" s="131" t="s">
        <v>392</v>
      </c>
      <c r="O93" s="100" t="s">
        <v>428</v>
      </c>
      <c r="P93" s="99" t="s">
        <v>391</v>
      </c>
      <c r="Q93" s="94" t="s">
        <v>32</v>
      </c>
      <c r="R93" s="99" t="s">
        <v>43</v>
      </c>
      <c r="S93" s="101">
        <v>1</v>
      </c>
      <c r="T93" s="94" t="s">
        <v>733</v>
      </c>
      <c r="U93" s="102">
        <v>80</v>
      </c>
      <c r="V93" s="9" t="s">
        <v>705</v>
      </c>
      <c r="W93" s="9"/>
      <c r="X93" s="9">
        <v>180</v>
      </c>
      <c r="Y93" s="9"/>
      <c r="Z93" s="9" t="s">
        <v>705</v>
      </c>
      <c r="AA93" s="9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</row>
    <row r="94" spans="1:39" ht="32" customHeight="1" thickBot="1">
      <c r="A94" s="34" t="s">
        <v>705</v>
      </c>
      <c r="B94" s="94" t="s">
        <v>620</v>
      </c>
      <c r="C94" s="95" t="s">
        <v>581</v>
      </c>
      <c r="D94" s="94" t="s">
        <v>433</v>
      </c>
      <c r="E94" s="94">
        <v>1629197</v>
      </c>
      <c r="F94" s="97">
        <v>43065</v>
      </c>
      <c r="G94" s="97">
        <v>43076</v>
      </c>
      <c r="H94" s="98">
        <f t="shared" si="2"/>
        <v>3.0116358658453114E-2</v>
      </c>
      <c r="I94" s="144" t="s">
        <v>429</v>
      </c>
      <c r="J94" s="94" t="s">
        <v>431</v>
      </c>
      <c r="K94" s="94"/>
      <c r="L94" s="94" t="s">
        <v>34</v>
      </c>
      <c r="M94" s="94" t="s">
        <v>24</v>
      </c>
      <c r="N94" s="131" t="s">
        <v>392</v>
      </c>
      <c r="O94" s="100" t="s">
        <v>430</v>
      </c>
      <c r="P94" s="99" t="s">
        <v>432</v>
      </c>
      <c r="Q94" s="94" t="s">
        <v>47</v>
      </c>
      <c r="R94" s="99" t="s">
        <v>47</v>
      </c>
      <c r="S94" s="101">
        <v>1</v>
      </c>
      <c r="T94" s="94" t="s">
        <v>673</v>
      </c>
      <c r="U94" s="102">
        <v>40</v>
      </c>
      <c r="V94" s="9">
        <v>180</v>
      </c>
      <c r="W94" s="9"/>
      <c r="X94" s="9">
        <v>180</v>
      </c>
      <c r="Y94" s="9"/>
      <c r="Z94" s="9">
        <v>180</v>
      </c>
      <c r="AA94" s="9"/>
      <c r="AB94" s="42" t="s">
        <v>725</v>
      </c>
      <c r="AC94" s="42"/>
      <c r="AD94" s="42"/>
      <c r="AE94" s="42"/>
      <c r="AF94" s="42"/>
      <c r="AG94" s="42"/>
      <c r="AH94" s="42"/>
      <c r="AI94" s="42"/>
      <c r="AJ94" s="42"/>
      <c r="AK94" s="42"/>
      <c r="AL94" s="42"/>
      <c r="AM94" s="42"/>
    </row>
    <row r="95" spans="1:39" ht="32" customHeight="1" thickBot="1">
      <c r="B95" s="186" t="s">
        <v>451</v>
      </c>
      <c r="C95" s="187"/>
      <c r="D95" s="187"/>
      <c r="E95" s="187"/>
      <c r="F95" s="43"/>
      <c r="G95" s="43"/>
      <c r="H95" s="44"/>
      <c r="I95" s="45"/>
      <c r="J95" s="27"/>
      <c r="K95" s="27"/>
      <c r="L95" s="27"/>
      <c r="M95" s="27"/>
      <c r="N95" s="28"/>
      <c r="O95" s="29"/>
      <c r="P95" s="28"/>
      <c r="Q95" s="27"/>
      <c r="R95" s="28"/>
      <c r="S95" s="27"/>
      <c r="T95" s="27"/>
      <c r="U95" s="27"/>
      <c r="V95" s="27">
        <v>3</v>
      </c>
      <c r="W95" s="27" t="s">
        <v>740</v>
      </c>
      <c r="X95" s="27">
        <v>1</v>
      </c>
      <c r="Y95" s="27" t="s">
        <v>746</v>
      </c>
      <c r="Z95" s="27">
        <v>2</v>
      </c>
      <c r="AA95" s="27" t="s">
        <v>742</v>
      </c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32"/>
    </row>
    <row r="96" spans="1:39" ht="32" customHeight="1">
      <c r="A96" s="34" t="s">
        <v>705</v>
      </c>
      <c r="B96" s="94" t="s">
        <v>621</v>
      </c>
      <c r="C96" s="95"/>
      <c r="D96" s="94" t="s">
        <v>453</v>
      </c>
      <c r="E96" s="94">
        <v>1718801</v>
      </c>
      <c r="F96" s="97">
        <v>43234</v>
      </c>
      <c r="G96" s="97">
        <v>43882</v>
      </c>
      <c r="H96" s="98">
        <f t="shared" si="2"/>
        <v>1.7741273100616017</v>
      </c>
      <c r="I96" s="99" t="s">
        <v>452</v>
      </c>
      <c r="J96" s="94" t="s">
        <v>454</v>
      </c>
      <c r="K96" s="94"/>
      <c r="L96" s="94" t="s">
        <v>34</v>
      </c>
      <c r="M96" s="94" t="s">
        <v>28</v>
      </c>
      <c r="N96" s="131" t="s">
        <v>392</v>
      </c>
      <c r="O96" s="100" t="s">
        <v>455</v>
      </c>
      <c r="P96" s="99" t="s">
        <v>461</v>
      </c>
      <c r="Q96" s="94" t="s">
        <v>47</v>
      </c>
      <c r="R96" s="99" t="s">
        <v>456</v>
      </c>
      <c r="S96" s="101">
        <v>1</v>
      </c>
      <c r="T96" s="94" t="s">
        <v>717</v>
      </c>
      <c r="U96" s="102">
        <v>160</v>
      </c>
      <c r="V96" s="9">
        <v>180</v>
      </c>
      <c r="W96" s="9"/>
      <c r="X96" s="9">
        <v>180</v>
      </c>
      <c r="Y96" s="9"/>
      <c r="Z96" s="9">
        <v>180</v>
      </c>
      <c r="AA96" s="9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</row>
    <row r="97" spans="1:39" ht="32" customHeight="1" thickBot="1">
      <c r="A97" s="34" t="s">
        <v>705</v>
      </c>
      <c r="B97" s="94" t="s">
        <v>622</v>
      </c>
      <c r="C97" s="95"/>
      <c r="D97" s="94" t="s">
        <v>460</v>
      </c>
      <c r="E97" s="94">
        <v>1610975</v>
      </c>
      <c r="F97" s="97">
        <v>40562</v>
      </c>
      <c r="G97" s="97">
        <v>43384</v>
      </c>
      <c r="H97" s="98">
        <f t="shared" si="2"/>
        <v>7.7262149212867897</v>
      </c>
      <c r="I97" s="99" t="s">
        <v>458</v>
      </c>
      <c r="J97" s="94" t="s">
        <v>459</v>
      </c>
      <c r="K97" s="94"/>
      <c r="L97" s="94" t="s">
        <v>34</v>
      </c>
      <c r="M97" s="94" t="s">
        <v>28</v>
      </c>
      <c r="N97" s="131" t="s">
        <v>392</v>
      </c>
      <c r="O97" s="100" t="s">
        <v>591</v>
      </c>
      <c r="P97" s="99" t="s">
        <v>457</v>
      </c>
      <c r="Q97" s="94" t="s">
        <v>47</v>
      </c>
      <c r="R97" s="99" t="s">
        <v>47</v>
      </c>
      <c r="S97" s="101">
        <v>1</v>
      </c>
      <c r="T97" s="94" t="s">
        <v>734</v>
      </c>
      <c r="U97" s="102">
        <v>370</v>
      </c>
      <c r="V97" s="9">
        <v>180</v>
      </c>
      <c r="W97" s="9"/>
      <c r="X97" s="9">
        <v>180</v>
      </c>
      <c r="Y97" s="9"/>
      <c r="Z97" s="9">
        <v>180</v>
      </c>
      <c r="AA97" s="9"/>
      <c r="AB97" s="42"/>
      <c r="AC97" s="42"/>
      <c r="AD97" s="42"/>
      <c r="AE97" s="42"/>
      <c r="AF97" s="42"/>
      <c r="AG97" s="42"/>
      <c r="AH97" s="42"/>
      <c r="AI97" s="42"/>
      <c r="AJ97" s="42"/>
      <c r="AK97" s="42"/>
      <c r="AL97" s="42"/>
      <c r="AM97" s="42"/>
    </row>
    <row r="98" spans="1:39" ht="32" customHeight="1" thickBot="1">
      <c r="B98" s="186" t="s">
        <v>462</v>
      </c>
      <c r="C98" s="187"/>
      <c r="D98" s="187"/>
      <c r="E98" s="187"/>
      <c r="F98" s="43"/>
      <c r="G98" s="43"/>
      <c r="H98" s="44"/>
      <c r="I98" s="45"/>
      <c r="J98" s="27"/>
      <c r="K98" s="27"/>
      <c r="L98" s="27"/>
      <c r="M98" s="27"/>
      <c r="N98" s="28"/>
      <c r="O98" s="29"/>
      <c r="P98" s="28"/>
      <c r="Q98" s="27"/>
      <c r="R98" s="28"/>
      <c r="S98" s="30"/>
      <c r="T98" s="27"/>
      <c r="U98" s="31"/>
      <c r="V98" s="27">
        <v>1</v>
      </c>
      <c r="W98" s="27" t="s">
        <v>740</v>
      </c>
      <c r="X98" s="27">
        <v>2</v>
      </c>
      <c r="Y98" s="27"/>
      <c r="Z98" s="27">
        <v>3</v>
      </c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32"/>
    </row>
    <row r="99" spans="1:39" ht="32" customHeight="1">
      <c r="A99" s="34" t="s">
        <v>705</v>
      </c>
      <c r="B99" s="94" t="s">
        <v>623</v>
      </c>
      <c r="C99" s="95"/>
      <c r="D99" s="94" t="s">
        <v>463</v>
      </c>
      <c r="E99" s="94">
        <v>1615237</v>
      </c>
      <c r="F99" s="97">
        <v>42515</v>
      </c>
      <c r="G99" s="97">
        <v>43399</v>
      </c>
      <c r="H99" s="98">
        <f t="shared" si="2"/>
        <v>2.4202600958247777</v>
      </c>
      <c r="I99" s="99" t="s">
        <v>464</v>
      </c>
      <c r="J99" s="94" t="s">
        <v>465</v>
      </c>
      <c r="K99" s="94"/>
      <c r="L99" s="94" t="s">
        <v>34</v>
      </c>
      <c r="M99" s="94" t="s">
        <v>28</v>
      </c>
      <c r="N99" s="131" t="s">
        <v>467</v>
      </c>
      <c r="O99" s="99"/>
      <c r="P99" s="99" t="s">
        <v>466</v>
      </c>
      <c r="Q99" s="94" t="s">
        <v>47</v>
      </c>
      <c r="R99" s="99" t="s">
        <v>47</v>
      </c>
      <c r="S99" s="101">
        <v>1</v>
      </c>
      <c r="T99" s="94" t="s">
        <v>735</v>
      </c>
      <c r="U99" s="102">
        <v>300</v>
      </c>
      <c r="V99" s="9">
        <v>180</v>
      </c>
      <c r="W99" s="9"/>
      <c r="X99" s="9">
        <v>180</v>
      </c>
      <c r="Y99" s="9"/>
      <c r="Z99" s="9">
        <v>180</v>
      </c>
      <c r="AA99" s="9"/>
      <c r="AB99" s="40"/>
      <c r="AC99" s="40"/>
      <c r="AD99" s="40"/>
      <c r="AE99" s="40"/>
      <c r="AF99" s="40"/>
      <c r="AG99" s="40"/>
      <c r="AH99" s="40"/>
      <c r="AI99" s="40"/>
      <c r="AJ99" s="40"/>
      <c r="AK99" s="40"/>
      <c r="AL99" s="40"/>
      <c r="AM99" s="40"/>
    </row>
    <row r="100" spans="1:39" ht="32" customHeight="1">
      <c r="A100" s="34" t="s">
        <v>705</v>
      </c>
      <c r="B100" s="94" t="s">
        <v>624</v>
      </c>
      <c r="C100" s="95"/>
      <c r="D100" s="94" t="s">
        <v>476</v>
      </c>
      <c r="E100" s="105">
        <v>1742344</v>
      </c>
      <c r="F100" s="97">
        <v>41810</v>
      </c>
      <c r="G100" s="97">
        <v>44134</v>
      </c>
      <c r="H100" s="98">
        <f t="shared" si="2"/>
        <v>6.362765229295003</v>
      </c>
      <c r="I100" s="99" t="s">
        <v>475</v>
      </c>
      <c r="J100" s="94" t="s">
        <v>477</v>
      </c>
      <c r="K100" s="94"/>
      <c r="L100" s="94" t="s">
        <v>34</v>
      </c>
      <c r="M100" s="94" t="s">
        <v>24</v>
      </c>
      <c r="N100" s="131" t="s">
        <v>467</v>
      </c>
      <c r="O100" s="99" t="s">
        <v>478</v>
      </c>
      <c r="P100" s="99" t="s">
        <v>479</v>
      </c>
      <c r="Q100" s="94"/>
      <c r="R100" s="99"/>
      <c r="S100" s="101">
        <v>1</v>
      </c>
      <c r="T100" s="94" t="s">
        <v>718</v>
      </c>
      <c r="U100" s="102">
        <v>0</v>
      </c>
      <c r="V100" s="9">
        <v>120</v>
      </c>
      <c r="W100" s="9"/>
      <c r="X100" s="9" t="s">
        <v>705</v>
      </c>
      <c r="Y100" s="9"/>
      <c r="Z100" s="9" t="s">
        <v>705</v>
      </c>
      <c r="AA100" s="9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</row>
    <row r="101" spans="1:39" ht="32" customHeight="1">
      <c r="A101" s="34" t="s">
        <v>705</v>
      </c>
      <c r="B101" s="94" t="s">
        <v>625</v>
      </c>
      <c r="C101" s="95"/>
      <c r="D101" s="94" t="s">
        <v>481</v>
      </c>
      <c r="E101" s="94">
        <v>1502025</v>
      </c>
      <c r="F101" s="97">
        <v>42018</v>
      </c>
      <c r="G101" s="97">
        <v>43774</v>
      </c>
      <c r="H101" s="98">
        <f t="shared" si="2"/>
        <v>4.8076659822039698</v>
      </c>
      <c r="I101" s="99" t="s">
        <v>480</v>
      </c>
      <c r="J101" s="94" t="s">
        <v>482</v>
      </c>
      <c r="K101" s="94"/>
      <c r="L101" s="94" t="s">
        <v>34</v>
      </c>
      <c r="M101" s="94" t="s">
        <v>24</v>
      </c>
      <c r="N101" s="131" t="s">
        <v>483</v>
      </c>
      <c r="O101" s="99"/>
      <c r="P101" s="99" t="s">
        <v>488</v>
      </c>
      <c r="Q101" s="94" t="s">
        <v>32</v>
      </c>
      <c r="R101" s="99" t="s">
        <v>449</v>
      </c>
      <c r="S101" s="101">
        <v>1</v>
      </c>
      <c r="T101" s="94" t="s">
        <v>736</v>
      </c>
      <c r="U101" s="102">
        <v>30</v>
      </c>
      <c r="V101" s="9">
        <v>180</v>
      </c>
      <c r="W101" s="9"/>
      <c r="X101" s="9" t="s">
        <v>705</v>
      </c>
      <c r="Y101" s="9"/>
      <c r="Z101" s="9" t="s">
        <v>705</v>
      </c>
      <c r="AA101" s="9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</row>
    <row r="102" spans="1:39" ht="32" customHeight="1" thickBot="1">
      <c r="A102" s="34" t="s">
        <v>705</v>
      </c>
      <c r="B102" s="94" t="s">
        <v>626</v>
      </c>
      <c r="C102" s="95" t="s">
        <v>583</v>
      </c>
      <c r="D102" s="94" t="s">
        <v>530</v>
      </c>
      <c r="E102" s="94">
        <v>1131984</v>
      </c>
      <c r="F102" s="97">
        <v>39228</v>
      </c>
      <c r="G102" s="97">
        <v>39744</v>
      </c>
      <c r="H102" s="98">
        <f t="shared" si="2"/>
        <v>1.4127310061601643</v>
      </c>
      <c r="I102" s="99" t="s">
        <v>528</v>
      </c>
      <c r="J102" s="94" t="s">
        <v>529</v>
      </c>
      <c r="K102" s="94"/>
      <c r="L102" s="94" t="s">
        <v>34</v>
      </c>
      <c r="M102" s="94" t="s">
        <v>28</v>
      </c>
      <c r="N102" s="131" t="s">
        <v>483</v>
      </c>
      <c r="O102" s="100" t="s">
        <v>531</v>
      </c>
      <c r="P102" s="100" t="s">
        <v>532</v>
      </c>
      <c r="Q102" s="94" t="s">
        <v>47</v>
      </c>
      <c r="R102" s="99" t="s">
        <v>47</v>
      </c>
      <c r="S102" s="101">
        <v>1</v>
      </c>
      <c r="T102" s="94" t="s">
        <v>675</v>
      </c>
      <c r="U102" s="102">
        <v>70</v>
      </c>
      <c r="V102" s="9">
        <v>180</v>
      </c>
      <c r="W102" s="9"/>
      <c r="X102" s="9" t="s">
        <v>705</v>
      </c>
      <c r="Y102" s="9"/>
      <c r="Z102" s="9" t="s">
        <v>705</v>
      </c>
      <c r="AA102" s="9"/>
      <c r="AB102" s="42"/>
      <c r="AC102" s="42"/>
      <c r="AD102" s="42"/>
      <c r="AE102" s="42"/>
      <c r="AF102" s="42"/>
      <c r="AG102" s="42"/>
      <c r="AH102" s="42"/>
      <c r="AI102" s="42"/>
      <c r="AJ102" s="42"/>
      <c r="AK102" s="42"/>
      <c r="AL102" s="42"/>
      <c r="AM102" s="42"/>
    </row>
    <row r="103" spans="1:39" ht="32" customHeight="1" thickBot="1">
      <c r="B103" s="186" t="s">
        <v>484</v>
      </c>
      <c r="C103" s="187"/>
      <c r="D103" s="187"/>
      <c r="E103" s="187"/>
      <c r="F103" s="43"/>
      <c r="G103" s="43"/>
      <c r="H103" s="44">
        <f t="shared" si="2"/>
        <v>0</v>
      </c>
      <c r="I103" s="45"/>
      <c r="J103" s="27"/>
      <c r="K103" s="27"/>
      <c r="L103" s="27"/>
      <c r="M103" s="27"/>
      <c r="N103" s="28"/>
      <c r="O103" s="29"/>
      <c r="P103" s="28"/>
      <c r="Q103" s="27"/>
      <c r="R103" s="28"/>
      <c r="S103" s="27"/>
      <c r="T103" s="27"/>
      <c r="U103" s="27"/>
      <c r="V103" s="27">
        <v>2</v>
      </c>
      <c r="W103" s="27"/>
      <c r="X103" s="27">
        <v>1</v>
      </c>
      <c r="Y103" s="27" t="s">
        <v>746</v>
      </c>
      <c r="Z103" s="27">
        <v>3</v>
      </c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32"/>
    </row>
    <row r="104" spans="1:39" ht="32" customHeight="1">
      <c r="A104" s="34" t="s">
        <v>705</v>
      </c>
      <c r="B104" s="94" t="s">
        <v>627</v>
      </c>
      <c r="C104" s="95" t="s">
        <v>584</v>
      </c>
      <c r="D104" s="94" t="s">
        <v>485</v>
      </c>
      <c r="E104" s="94">
        <v>1138323</v>
      </c>
      <c r="F104" s="97">
        <v>38709</v>
      </c>
      <c r="G104" s="97">
        <v>40830</v>
      </c>
      <c r="H104" s="98">
        <f t="shared" si="2"/>
        <v>5.806981519507187</v>
      </c>
      <c r="I104" s="99" t="s">
        <v>486</v>
      </c>
      <c r="J104" s="94" t="s">
        <v>487</v>
      </c>
      <c r="K104" s="94"/>
      <c r="L104" s="94" t="s">
        <v>34</v>
      </c>
      <c r="M104" s="94" t="s">
        <v>28</v>
      </c>
      <c r="N104" s="131" t="s">
        <v>483</v>
      </c>
      <c r="O104" s="99" t="s">
        <v>490</v>
      </c>
      <c r="P104" s="99" t="s">
        <v>489</v>
      </c>
      <c r="Q104" s="94" t="s">
        <v>47</v>
      </c>
      <c r="R104" s="99"/>
      <c r="S104" s="101">
        <v>1</v>
      </c>
      <c r="T104" s="94" t="s">
        <v>228</v>
      </c>
      <c r="U104" s="102">
        <v>0</v>
      </c>
      <c r="V104" s="9" t="s">
        <v>705</v>
      </c>
      <c r="W104" s="9"/>
      <c r="X104" s="9">
        <v>90</v>
      </c>
      <c r="Y104" s="9"/>
      <c r="Z104" s="9" t="s">
        <v>705</v>
      </c>
      <c r="AA104" s="9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</row>
    <row r="105" spans="1:39" ht="32" customHeight="1">
      <c r="B105" s="46" t="s">
        <v>628</v>
      </c>
      <c r="C105" s="55"/>
      <c r="D105" s="9" t="s">
        <v>491</v>
      </c>
      <c r="E105" s="9">
        <v>1601540</v>
      </c>
      <c r="F105" s="8">
        <v>42942</v>
      </c>
      <c r="G105" s="8">
        <v>42944</v>
      </c>
      <c r="H105" s="67">
        <f t="shared" si="2"/>
        <v>5.4757015742642025E-3</v>
      </c>
      <c r="I105" s="13" t="s">
        <v>492</v>
      </c>
      <c r="J105" s="9" t="s">
        <v>493</v>
      </c>
      <c r="K105" s="9"/>
      <c r="L105" s="9" t="s">
        <v>33</v>
      </c>
      <c r="M105" s="9" t="s">
        <v>24</v>
      </c>
      <c r="N105" s="61" t="s">
        <v>496</v>
      </c>
      <c r="O105" s="13" t="s">
        <v>495</v>
      </c>
      <c r="P105" s="13" t="s">
        <v>501</v>
      </c>
      <c r="Q105" s="9" t="s">
        <v>32</v>
      </c>
      <c r="R105" s="13"/>
      <c r="S105" s="38"/>
      <c r="T105" s="9"/>
      <c r="U105" s="39"/>
      <c r="V105" s="9"/>
      <c r="W105" s="9"/>
      <c r="X105" s="9"/>
      <c r="Y105" s="9"/>
      <c r="Z105" s="9"/>
      <c r="AA105" s="9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</row>
    <row r="106" spans="1:39" ht="32" customHeight="1" thickBot="1">
      <c r="B106" s="77" t="s">
        <v>629</v>
      </c>
      <c r="C106" s="78"/>
      <c r="D106" s="77" t="s">
        <v>497</v>
      </c>
      <c r="E106" s="77">
        <v>1703992</v>
      </c>
      <c r="F106" s="80">
        <v>43701</v>
      </c>
      <c r="G106" s="80">
        <v>43705</v>
      </c>
      <c r="H106" s="81">
        <f t="shared" si="2"/>
        <v>1.0951403148528405E-2</v>
      </c>
      <c r="I106" s="82" t="s">
        <v>498</v>
      </c>
      <c r="J106" s="77" t="s">
        <v>499</v>
      </c>
      <c r="K106" s="77"/>
      <c r="L106" s="77" t="s">
        <v>33</v>
      </c>
      <c r="M106" s="77" t="s">
        <v>28</v>
      </c>
      <c r="N106" s="154" t="s">
        <v>496</v>
      </c>
      <c r="O106" s="82" t="s">
        <v>500</v>
      </c>
      <c r="P106" s="82" t="s">
        <v>494</v>
      </c>
      <c r="Q106" s="77" t="s">
        <v>32</v>
      </c>
      <c r="R106" s="82"/>
      <c r="S106" s="92"/>
      <c r="T106" s="77"/>
      <c r="U106" s="93"/>
      <c r="V106" s="9"/>
      <c r="W106" s="9"/>
      <c r="X106" s="9"/>
      <c r="Y106" s="9"/>
      <c r="Z106" s="9"/>
      <c r="AA106" s="9"/>
      <c r="AB106" s="42"/>
      <c r="AC106" s="42"/>
      <c r="AD106" s="42"/>
      <c r="AE106" s="42"/>
      <c r="AF106" s="42"/>
      <c r="AG106" s="42"/>
      <c r="AH106" s="42"/>
      <c r="AI106" s="42"/>
      <c r="AJ106" s="42"/>
      <c r="AK106" s="42"/>
      <c r="AL106" s="42"/>
      <c r="AM106" s="42"/>
    </row>
    <row r="107" spans="1:39" ht="32" customHeight="1" thickBot="1">
      <c r="B107" s="186" t="s">
        <v>502</v>
      </c>
      <c r="C107" s="187"/>
      <c r="D107" s="187"/>
      <c r="E107" s="187"/>
      <c r="F107" s="43"/>
      <c r="G107" s="43"/>
      <c r="H107" s="44"/>
      <c r="I107" s="45"/>
      <c r="J107" s="27"/>
      <c r="K107" s="27"/>
      <c r="L107" s="27"/>
      <c r="M107" s="27"/>
      <c r="N107" s="28"/>
      <c r="O107" s="29"/>
      <c r="P107" s="28"/>
      <c r="Q107" s="27"/>
      <c r="R107" s="28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32"/>
    </row>
    <row r="108" spans="1:39" ht="32" customHeight="1">
      <c r="B108" s="77" t="s">
        <v>514</v>
      </c>
      <c r="C108" s="78"/>
      <c r="D108" s="77" t="s">
        <v>503</v>
      </c>
      <c r="E108" s="77">
        <v>1155103</v>
      </c>
      <c r="F108" s="80">
        <v>39280</v>
      </c>
      <c r="G108" s="80">
        <v>42500</v>
      </c>
      <c r="H108" s="81">
        <f t="shared" si="2"/>
        <v>8.8158795345653669</v>
      </c>
      <c r="I108" s="82" t="s">
        <v>504</v>
      </c>
      <c r="J108" s="77" t="s">
        <v>505</v>
      </c>
      <c r="K108" s="77"/>
      <c r="L108" s="77" t="s">
        <v>34</v>
      </c>
      <c r="M108" s="77" t="s">
        <v>28</v>
      </c>
      <c r="N108" s="154" t="s">
        <v>392</v>
      </c>
      <c r="O108" s="82"/>
      <c r="P108" s="82" t="s">
        <v>510</v>
      </c>
      <c r="Q108" s="77"/>
      <c r="R108" s="82"/>
      <c r="S108" s="92"/>
      <c r="T108" s="77"/>
      <c r="U108" s="93"/>
      <c r="V108" s="9"/>
      <c r="W108" s="9"/>
      <c r="X108" s="9"/>
      <c r="Y108" s="9"/>
      <c r="Z108" s="9"/>
      <c r="AA108" s="9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</row>
    <row r="109" spans="1:39" ht="32" customHeight="1" thickBot="1">
      <c r="B109" s="46" t="s">
        <v>515</v>
      </c>
      <c r="C109" s="55"/>
      <c r="D109" s="9" t="s">
        <v>506</v>
      </c>
      <c r="E109" s="9">
        <v>716558</v>
      </c>
      <c r="F109" s="8">
        <v>35563</v>
      </c>
      <c r="G109" s="8">
        <v>42058</v>
      </c>
      <c r="H109" s="67">
        <f t="shared" si="2"/>
        <v>17.782340862422998</v>
      </c>
      <c r="I109" s="13" t="s">
        <v>507</v>
      </c>
      <c r="J109" s="9" t="s">
        <v>508</v>
      </c>
      <c r="K109" s="9"/>
      <c r="L109" s="9" t="s">
        <v>34</v>
      </c>
      <c r="M109" s="9" t="s">
        <v>24</v>
      </c>
      <c r="N109" s="61" t="s">
        <v>392</v>
      </c>
      <c r="O109" s="13"/>
      <c r="P109" s="13" t="s">
        <v>509</v>
      </c>
      <c r="Q109" s="9"/>
      <c r="R109" s="13"/>
      <c r="S109" s="38"/>
      <c r="T109" s="9"/>
      <c r="U109" s="39"/>
      <c r="V109" s="9"/>
      <c r="W109" s="9"/>
      <c r="X109" s="9"/>
      <c r="Y109" s="9"/>
      <c r="Z109" s="9"/>
      <c r="AA109" s="9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  <c r="AM109" s="42"/>
    </row>
    <row r="110" spans="1:39" ht="32" customHeight="1" thickBot="1">
      <c r="B110" s="186" t="s">
        <v>511</v>
      </c>
      <c r="C110" s="187"/>
      <c r="D110" s="187"/>
      <c r="E110" s="187"/>
      <c r="F110" s="43"/>
      <c r="G110" s="43"/>
      <c r="H110" s="44"/>
      <c r="I110" s="45"/>
      <c r="J110" s="27"/>
      <c r="K110" s="27"/>
      <c r="L110" s="27"/>
      <c r="M110" s="27"/>
      <c r="N110" s="28"/>
      <c r="O110" s="29"/>
      <c r="P110" s="28"/>
      <c r="Q110" s="27"/>
      <c r="R110" s="28"/>
      <c r="S110" s="27"/>
      <c r="T110" s="27"/>
      <c r="U110" s="27"/>
      <c r="V110" s="197" t="s">
        <v>747</v>
      </c>
      <c r="W110" s="197"/>
      <c r="X110" s="197"/>
      <c r="Y110" s="197"/>
      <c r="Z110" s="197"/>
      <c r="AA110" s="19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32"/>
    </row>
    <row r="111" spans="1:39" ht="32" customHeight="1" thickBot="1">
      <c r="B111" s="77" t="s">
        <v>520</v>
      </c>
      <c r="C111" s="78"/>
      <c r="D111" s="77" t="s">
        <v>512</v>
      </c>
      <c r="E111" s="77">
        <v>1281579</v>
      </c>
      <c r="F111" s="80">
        <v>39465</v>
      </c>
      <c r="G111" s="80">
        <v>41282</v>
      </c>
      <c r="H111" s="81">
        <f t="shared" si="2"/>
        <v>4.9746748802190277</v>
      </c>
      <c r="I111" s="82" t="s">
        <v>513</v>
      </c>
      <c r="J111" s="77" t="s">
        <v>516</v>
      </c>
      <c r="K111" s="77"/>
      <c r="L111" s="77" t="s">
        <v>34</v>
      </c>
      <c r="M111" s="77" t="s">
        <v>28</v>
      </c>
      <c r="N111" s="154" t="s">
        <v>392</v>
      </c>
      <c r="O111" s="82" t="s">
        <v>517</v>
      </c>
      <c r="P111" s="82" t="s">
        <v>518</v>
      </c>
      <c r="Q111" s="77"/>
      <c r="R111" s="82"/>
      <c r="S111" s="92"/>
      <c r="T111" s="77"/>
      <c r="U111" s="93"/>
      <c r="V111" s="9"/>
      <c r="W111" s="9"/>
      <c r="X111" s="9"/>
      <c r="Y111" s="9"/>
      <c r="Z111" s="9"/>
      <c r="AA111" s="9"/>
      <c r="AB111" s="46"/>
      <c r="AC111" s="46"/>
      <c r="AD111" s="46"/>
      <c r="AE111" s="46"/>
      <c r="AF111" s="46"/>
      <c r="AG111" s="46"/>
      <c r="AH111" s="46"/>
      <c r="AI111" s="46"/>
      <c r="AJ111" s="46"/>
      <c r="AK111" s="46"/>
      <c r="AL111" s="46"/>
      <c r="AM111" s="46"/>
    </row>
    <row r="112" spans="1:39" ht="32" customHeight="1" thickBot="1">
      <c r="B112" s="186" t="s">
        <v>527</v>
      </c>
      <c r="C112" s="187"/>
      <c r="D112" s="187"/>
      <c r="E112" s="187"/>
      <c r="F112" s="43"/>
      <c r="G112" s="43"/>
      <c r="H112" s="44"/>
      <c r="I112" s="45"/>
      <c r="J112" s="27"/>
      <c r="K112" s="27"/>
      <c r="L112" s="27"/>
      <c r="M112" s="27"/>
      <c r="N112" s="28"/>
      <c r="O112" s="29"/>
      <c r="P112" s="28"/>
      <c r="Q112" s="27"/>
      <c r="R112" s="28"/>
      <c r="S112" s="27"/>
      <c r="T112" s="27"/>
      <c r="U112" s="27"/>
      <c r="V112" s="27">
        <v>1</v>
      </c>
      <c r="W112" s="27" t="s">
        <v>740</v>
      </c>
      <c r="X112" s="27">
        <v>1</v>
      </c>
      <c r="Y112" s="27" t="s">
        <v>741</v>
      </c>
      <c r="Z112" s="27">
        <v>1</v>
      </c>
      <c r="AA112" s="27" t="s">
        <v>742</v>
      </c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32"/>
    </row>
    <row r="113" spans="1:39" ht="32" customHeight="1">
      <c r="A113" s="34" t="s">
        <v>705</v>
      </c>
      <c r="B113" s="94" t="s">
        <v>533</v>
      </c>
      <c r="C113" s="95"/>
      <c r="D113" s="94" t="s">
        <v>521</v>
      </c>
      <c r="E113" s="94">
        <v>1474879</v>
      </c>
      <c r="F113" s="97">
        <v>41844</v>
      </c>
      <c r="G113" s="97">
        <v>44099</v>
      </c>
      <c r="H113" s="98">
        <f t="shared" si="2"/>
        <v>6.1738535249828885</v>
      </c>
      <c r="I113" s="99" t="s">
        <v>519</v>
      </c>
      <c r="J113" s="94" t="s">
        <v>522</v>
      </c>
      <c r="K113" s="94"/>
      <c r="L113" s="94" t="s">
        <v>34</v>
      </c>
      <c r="M113" s="94" t="s">
        <v>28</v>
      </c>
      <c r="N113" s="99" t="s">
        <v>525</v>
      </c>
      <c r="O113" s="99" t="s">
        <v>523</v>
      </c>
      <c r="P113" s="99" t="s">
        <v>524</v>
      </c>
      <c r="Q113" s="94" t="s">
        <v>32</v>
      </c>
      <c r="R113" s="99" t="s">
        <v>526</v>
      </c>
      <c r="S113" s="145">
        <v>1</v>
      </c>
      <c r="T113" s="146" t="s">
        <v>719</v>
      </c>
      <c r="U113" s="147">
        <v>600</v>
      </c>
      <c r="V113" s="9">
        <v>180</v>
      </c>
      <c r="W113" s="9"/>
      <c r="X113" s="9">
        <v>180</v>
      </c>
      <c r="Y113" s="9"/>
      <c r="Z113" s="9">
        <v>180</v>
      </c>
      <c r="AA113" s="9"/>
      <c r="AB113" s="46"/>
      <c r="AC113" s="46"/>
      <c r="AD113" s="46"/>
      <c r="AE113" s="46"/>
      <c r="AF113" s="46"/>
      <c r="AG113" s="46"/>
      <c r="AH113" s="46"/>
      <c r="AI113" s="46"/>
      <c r="AJ113" s="46"/>
      <c r="AK113" s="46"/>
      <c r="AL113" s="46"/>
      <c r="AM113" s="46"/>
    </row>
    <row r="114" spans="1:39" ht="32" customHeight="1">
      <c r="B114" s="46"/>
      <c r="C114" s="55"/>
      <c r="D114" s="9"/>
      <c r="E114" s="9"/>
      <c r="F114" s="8"/>
      <c r="G114" s="8"/>
      <c r="H114" s="67"/>
      <c r="I114" s="13"/>
      <c r="J114" s="9"/>
      <c r="K114" s="9"/>
      <c r="L114" s="9"/>
      <c r="M114" s="9"/>
      <c r="N114" s="13"/>
      <c r="O114" s="13"/>
      <c r="P114" s="13"/>
      <c r="Q114" s="9"/>
      <c r="R114" s="13"/>
      <c r="S114" s="70"/>
      <c r="T114" s="71"/>
      <c r="U114" s="72"/>
      <c r="V114" s="9"/>
      <c r="W114" s="9"/>
      <c r="X114" s="9"/>
      <c r="Y114" s="9"/>
      <c r="Z114" s="9"/>
      <c r="AA114" s="9"/>
      <c r="AB114" s="46"/>
      <c r="AC114" s="46"/>
      <c r="AD114" s="46"/>
      <c r="AE114" s="46"/>
      <c r="AF114" s="46"/>
      <c r="AG114" s="46"/>
      <c r="AH114" s="46"/>
      <c r="AI114" s="46"/>
      <c r="AJ114" s="46"/>
      <c r="AK114" s="46"/>
      <c r="AL114" s="46"/>
      <c r="AM114" s="46"/>
    </row>
    <row r="115" spans="1:39" ht="32" customHeight="1">
      <c r="B115" s="46"/>
      <c r="C115" s="55"/>
      <c r="D115" s="9"/>
      <c r="E115" s="9"/>
      <c r="F115" s="8"/>
      <c r="G115" s="8"/>
      <c r="H115" s="67"/>
      <c r="I115" s="13"/>
      <c r="J115" s="9"/>
      <c r="K115" s="9"/>
      <c r="L115" s="9"/>
      <c r="M115" s="9"/>
      <c r="N115" s="13"/>
      <c r="O115" s="13"/>
      <c r="P115" s="13"/>
      <c r="Q115" s="9"/>
      <c r="R115" s="13"/>
      <c r="S115" s="70"/>
      <c r="T115" s="71"/>
      <c r="U115" s="72"/>
      <c r="V115" s="9"/>
      <c r="W115" s="9"/>
      <c r="X115" s="9"/>
      <c r="Y115" s="9"/>
      <c r="Z115" s="9"/>
      <c r="AA115" s="9"/>
      <c r="AB115" s="46"/>
      <c r="AC115" s="46"/>
      <c r="AD115" s="46"/>
      <c r="AE115" s="46"/>
      <c r="AF115" s="46"/>
      <c r="AG115" s="46"/>
      <c r="AH115" s="46"/>
      <c r="AI115" s="46"/>
      <c r="AJ115" s="46"/>
      <c r="AK115" s="46"/>
      <c r="AL115" s="46"/>
      <c r="AM115" s="46"/>
    </row>
  </sheetData>
  <mergeCells count="45">
    <mergeCell ref="V110:AA110"/>
    <mergeCell ref="B103:E103"/>
    <mergeCell ref="B107:E107"/>
    <mergeCell ref="B110:E110"/>
    <mergeCell ref="B112:E112"/>
    <mergeCell ref="F5:I5"/>
    <mergeCell ref="B66:E66"/>
    <mergeCell ref="B68:E68"/>
    <mergeCell ref="B89:E89"/>
    <mergeCell ref="B95:E95"/>
    <mergeCell ref="B98:E98"/>
    <mergeCell ref="R2:R3"/>
    <mergeCell ref="S2:S3"/>
    <mergeCell ref="T2:T3"/>
    <mergeCell ref="U2:U3"/>
    <mergeCell ref="V2:W2"/>
    <mergeCell ref="X2:Y2"/>
    <mergeCell ref="Q2:Q3"/>
    <mergeCell ref="Z2:AA2"/>
    <mergeCell ref="B62:E62"/>
    <mergeCell ref="B51:E51"/>
    <mergeCell ref="B47:E47"/>
    <mergeCell ref="B36:E36"/>
    <mergeCell ref="B41:E41"/>
    <mergeCell ref="B45:E45"/>
    <mergeCell ref="B31:E31"/>
    <mergeCell ref="B23:E23"/>
    <mergeCell ref="B18:E18"/>
    <mergeCell ref="B15:E15"/>
    <mergeCell ref="K2:K3"/>
    <mergeCell ref="B5:E5"/>
    <mergeCell ref="B2:B3"/>
    <mergeCell ref="C2:C3"/>
    <mergeCell ref="D2:D3"/>
    <mergeCell ref="E2:E3"/>
    <mergeCell ref="F2:F3"/>
    <mergeCell ref="G2:G3"/>
    <mergeCell ref="N2:N3"/>
    <mergeCell ref="O2:O3"/>
    <mergeCell ref="P2:P3"/>
    <mergeCell ref="H2:H3"/>
    <mergeCell ref="I2:I3"/>
    <mergeCell ref="J2:J3"/>
    <mergeCell ref="L2:L3"/>
    <mergeCell ref="M2:M3"/>
  </mergeCells>
  <phoneticPr fontId="4" type="noConversion"/>
  <pageMargins left="0.7" right="0.7" top="0.75" bottom="0.75" header="0.3" footer="0.3"/>
  <pageSetup paperSize="9" scale="11" fitToHeight="0" orientation="portrait"/>
  <ignoredErrors>
    <ignoredError sqref="E71" numberStoredAsText="1"/>
  </ignoredError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Actividades</vt:lpstr>
      <vt:lpstr>Pacientes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alexandra Julia Palacios</dc:creator>
  <cp:lastModifiedBy>Alfonso Oyarzábal</cp:lastModifiedBy>
  <cp:lastPrinted>2021-03-19T11:11:37Z</cp:lastPrinted>
  <dcterms:created xsi:type="dcterms:W3CDTF">2020-02-27T13:29:17Z</dcterms:created>
  <dcterms:modified xsi:type="dcterms:W3CDTF">2021-06-14T13:32:32Z</dcterms:modified>
</cp:coreProperties>
</file>